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vdm-fsvr\Cokhi-機工\5.TAI LIEU KHAC\1.DU LIEU DOWNLOAD AUTO\2.BAO CAO HANG NGAY\"/>
    </mc:Choice>
  </mc:AlternateContent>
  <bookViews>
    <workbookView xWindow="-120" yWindow="-120" windowWidth="29040" windowHeight="15840"/>
  </bookViews>
  <sheets>
    <sheet name="Tong_Hop" sheetId="1" r:id="rId1"/>
    <sheet name="EN" sheetId="2" r:id="rId2"/>
    <sheet name="EW" sheetId="3" r:id="rId3"/>
    <sheet name="GJ" sheetId="4" r:id="rId4"/>
    <sheet name="GS" sheetId="5" r:id="rId5"/>
    <sheet name="GP" sheetId="6" r:id="rId6"/>
    <sheet name="GR" sheetId="7" r:id="rId7"/>
    <sheet name="GC" sheetId="8" r:id="rId8"/>
    <sheet name="LN" sheetId="9" r:id="rId9"/>
    <sheet name="MC" sheetId="10" r:id="rId10"/>
    <sheet name="MA" sheetId="11" r:id="rId11"/>
    <sheet name="BJ" sheetId="12" r:id="rId12"/>
    <sheet name="LA" sheetId="13" r:id="rId13"/>
  </sheets>
  <calcPr calcId="162913" forceFullCalc="1"/>
</workbook>
</file>

<file path=xl/calcChain.xml><?xml version="1.0" encoding="utf-8"?>
<calcChain xmlns="http://schemas.openxmlformats.org/spreadsheetml/2006/main">
  <c r="M75" i="13" l="1"/>
  <c r="L75" i="13"/>
  <c r="K75" i="13"/>
  <c r="H75" i="13"/>
  <c r="M74" i="13"/>
  <c r="L74" i="13"/>
  <c r="K74" i="13"/>
  <c r="H74" i="13"/>
  <c r="M73" i="13"/>
  <c r="L73" i="13"/>
  <c r="K73" i="13"/>
  <c r="H73" i="13"/>
  <c r="M72" i="13"/>
  <c r="L72" i="13"/>
  <c r="K72" i="13"/>
  <c r="H72" i="13"/>
  <c r="M71" i="13"/>
  <c r="L71" i="13"/>
  <c r="K71" i="13"/>
  <c r="H71" i="13"/>
  <c r="M70" i="13"/>
  <c r="L70" i="13"/>
  <c r="K70" i="13"/>
  <c r="H70" i="13"/>
  <c r="M69" i="13"/>
  <c r="L69" i="13"/>
  <c r="K69" i="13"/>
  <c r="H69" i="13"/>
  <c r="M68" i="13"/>
  <c r="L68" i="13"/>
  <c r="K68" i="13"/>
  <c r="H68" i="13"/>
  <c r="M67" i="13"/>
  <c r="L67" i="13"/>
  <c r="K67" i="13"/>
  <c r="H67" i="13"/>
  <c r="M66" i="13"/>
  <c r="L66" i="13"/>
  <c r="K66" i="13"/>
  <c r="H66" i="13"/>
  <c r="M65" i="13"/>
  <c r="L65" i="13"/>
  <c r="K65" i="13"/>
  <c r="H65" i="13"/>
  <c r="M64" i="13"/>
  <c r="L64" i="13"/>
  <c r="K64" i="13"/>
  <c r="H64" i="13"/>
  <c r="M63" i="13"/>
  <c r="L63" i="13"/>
  <c r="K63" i="13"/>
  <c r="H63" i="13"/>
  <c r="M62" i="13"/>
  <c r="L62" i="13"/>
  <c r="K62" i="13"/>
  <c r="H62" i="13"/>
  <c r="M61" i="13"/>
  <c r="L61" i="13"/>
  <c r="K61" i="13"/>
  <c r="H61" i="13"/>
  <c r="M60" i="13"/>
  <c r="L60" i="13"/>
  <c r="K60" i="13"/>
  <c r="H60" i="13"/>
  <c r="M59" i="13"/>
  <c r="L59" i="13"/>
  <c r="K59" i="13"/>
  <c r="H59" i="13"/>
  <c r="M58" i="13"/>
  <c r="L58" i="13"/>
  <c r="K58" i="13"/>
  <c r="H58" i="13"/>
  <c r="M57" i="13"/>
  <c r="L57" i="13"/>
  <c r="K57" i="13"/>
  <c r="H57" i="13"/>
  <c r="M56" i="13"/>
  <c r="L56" i="13"/>
  <c r="K56" i="13"/>
  <c r="H56" i="13"/>
  <c r="M55" i="13"/>
  <c r="L55" i="13"/>
  <c r="K55" i="13"/>
  <c r="H55" i="13"/>
  <c r="M54" i="13"/>
  <c r="L54" i="13"/>
  <c r="K54" i="13"/>
  <c r="H54" i="13"/>
  <c r="M53" i="13"/>
  <c r="L53" i="13"/>
  <c r="K53" i="13"/>
  <c r="H53" i="13"/>
  <c r="M52" i="13"/>
  <c r="L52" i="13"/>
  <c r="K52" i="13"/>
  <c r="H52" i="13"/>
  <c r="M51" i="13"/>
  <c r="L51" i="13"/>
  <c r="K51" i="13"/>
  <c r="H51" i="13"/>
  <c r="M50" i="13"/>
  <c r="L50" i="13"/>
  <c r="K50" i="13"/>
  <c r="H50" i="13"/>
  <c r="M49" i="13"/>
  <c r="L49" i="13"/>
  <c r="K49" i="13"/>
  <c r="H49" i="13"/>
  <c r="M48" i="13"/>
  <c r="L48" i="13"/>
  <c r="K48" i="13"/>
  <c r="H48" i="13"/>
  <c r="M47" i="13"/>
  <c r="L47" i="13"/>
  <c r="K47" i="13"/>
  <c r="H47" i="13"/>
  <c r="M46" i="13"/>
  <c r="L46" i="13"/>
  <c r="K46" i="13"/>
  <c r="H46" i="13"/>
  <c r="M45" i="13"/>
  <c r="L45" i="13"/>
  <c r="K45" i="13"/>
  <c r="H45" i="13"/>
  <c r="M44" i="13"/>
  <c r="L44" i="13"/>
  <c r="K44" i="13"/>
  <c r="H44" i="13"/>
  <c r="M43" i="13"/>
  <c r="L43" i="13"/>
  <c r="K43" i="13"/>
  <c r="H43" i="13"/>
  <c r="M42" i="13"/>
  <c r="L42" i="13"/>
  <c r="K42" i="13"/>
  <c r="H42" i="13"/>
  <c r="M41" i="13"/>
  <c r="L41" i="13"/>
  <c r="K41" i="13"/>
  <c r="H41" i="13"/>
  <c r="M40" i="13"/>
  <c r="L40" i="13"/>
  <c r="K40" i="13"/>
  <c r="H40" i="13"/>
  <c r="M39" i="13"/>
  <c r="L39" i="13"/>
  <c r="K39" i="13"/>
  <c r="H39" i="13"/>
  <c r="M38" i="13"/>
  <c r="L38" i="13"/>
  <c r="K38" i="13"/>
  <c r="H38" i="13"/>
  <c r="M37" i="13"/>
  <c r="L37" i="13"/>
  <c r="K37" i="13"/>
  <c r="H37" i="13"/>
  <c r="M36" i="13"/>
  <c r="L36" i="13"/>
  <c r="K36" i="13"/>
  <c r="H36" i="13"/>
  <c r="M35" i="13"/>
  <c r="L35" i="13"/>
  <c r="K35" i="13"/>
  <c r="H35" i="13"/>
  <c r="M34" i="13"/>
  <c r="L34" i="13"/>
  <c r="K34" i="13"/>
  <c r="H34" i="13"/>
  <c r="M33" i="13"/>
  <c r="L33" i="13"/>
  <c r="K33" i="13"/>
  <c r="H33" i="13"/>
  <c r="M32" i="13"/>
  <c r="L32" i="13"/>
  <c r="K32" i="13"/>
  <c r="H32" i="13"/>
  <c r="M31" i="13"/>
  <c r="L31" i="13"/>
  <c r="K31" i="13"/>
  <c r="H31" i="13"/>
  <c r="M30" i="13"/>
  <c r="L30" i="13"/>
  <c r="K30" i="13"/>
  <c r="H30" i="13"/>
  <c r="M29" i="13"/>
  <c r="L29" i="13"/>
  <c r="K29" i="13"/>
  <c r="H29" i="13"/>
  <c r="M28" i="13"/>
  <c r="L28" i="13"/>
  <c r="K28" i="13"/>
  <c r="H28" i="13"/>
  <c r="M27" i="13"/>
  <c r="L27" i="13"/>
  <c r="K27" i="13"/>
  <c r="H27" i="13"/>
  <c r="M26" i="13"/>
  <c r="L26" i="13"/>
  <c r="K26" i="13"/>
  <c r="H26" i="13"/>
  <c r="M25" i="13"/>
  <c r="L25" i="13"/>
  <c r="K25" i="13"/>
  <c r="H25" i="13"/>
  <c r="M24" i="13"/>
  <c r="L24" i="13"/>
  <c r="K24" i="13"/>
  <c r="H24" i="13"/>
  <c r="M23" i="13"/>
  <c r="L23" i="13"/>
  <c r="K23" i="13"/>
  <c r="H23" i="13"/>
  <c r="M22" i="13"/>
  <c r="L22" i="13"/>
  <c r="K22" i="13"/>
  <c r="H22" i="13"/>
  <c r="M21" i="13"/>
  <c r="L21" i="13"/>
  <c r="K21" i="13"/>
  <c r="H21" i="13"/>
  <c r="M20" i="13"/>
  <c r="L20" i="13"/>
  <c r="K20" i="13"/>
  <c r="H20" i="13"/>
  <c r="M19" i="13"/>
  <c r="L19" i="13"/>
  <c r="K19" i="13"/>
  <c r="H19" i="13"/>
  <c r="M18" i="13"/>
  <c r="L18" i="13"/>
  <c r="K18" i="13"/>
  <c r="H18" i="13"/>
  <c r="M17" i="13"/>
  <c r="L17" i="13"/>
  <c r="K17" i="13"/>
  <c r="H17" i="13"/>
  <c r="M16" i="13"/>
  <c r="L16" i="13"/>
  <c r="K16" i="13"/>
  <c r="H16" i="13"/>
  <c r="M15" i="13"/>
  <c r="L15" i="13"/>
  <c r="K15" i="13"/>
  <c r="H15" i="13"/>
  <c r="M14" i="13"/>
  <c r="L14" i="13"/>
  <c r="K14" i="13"/>
  <c r="H14" i="13"/>
  <c r="M13" i="13"/>
  <c r="L13" i="13"/>
  <c r="K13" i="13"/>
  <c r="M12" i="13"/>
  <c r="L12" i="13"/>
  <c r="K12" i="13"/>
  <c r="M11" i="13"/>
  <c r="L11" i="13"/>
  <c r="K11" i="13"/>
  <c r="M10" i="13"/>
  <c r="L10" i="13"/>
  <c r="K10" i="13"/>
  <c r="M9" i="13"/>
  <c r="L9" i="13"/>
  <c r="K9" i="13"/>
  <c r="M8" i="13"/>
  <c r="L8" i="13"/>
  <c r="K8" i="13"/>
  <c r="M7" i="13"/>
  <c r="L7" i="13"/>
  <c r="K7" i="13"/>
  <c r="M6" i="13"/>
  <c r="L6" i="13"/>
  <c r="K6" i="13"/>
  <c r="M5" i="13"/>
  <c r="L5" i="13"/>
  <c r="K5" i="13"/>
  <c r="M4" i="13"/>
  <c r="L4" i="13"/>
  <c r="K4" i="13"/>
  <c r="M3" i="13"/>
  <c r="L3" i="13"/>
  <c r="K3" i="13"/>
  <c r="M2" i="13"/>
  <c r="L2" i="13"/>
  <c r="K2" i="13"/>
  <c r="M75" i="12"/>
  <c r="L75" i="12"/>
  <c r="K75" i="12"/>
  <c r="H75" i="12"/>
  <c r="M74" i="12"/>
  <c r="L74" i="12"/>
  <c r="K74" i="12"/>
  <c r="H74" i="12"/>
  <c r="M73" i="12"/>
  <c r="L73" i="12"/>
  <c r="K73" i="12"/>
  <c r="H73" i="12"/>
  <c r="M72" i="12"/>
  <c r="L72" i="12"/>
  <c r="K72" i="12"/>
  <c r="H72" i="12"/>
  <c r="M71" i="12"/>
  <c r="L71" i="12"/>
  <c r="K71" i="12"/>
  <c r="H71" i="12"/>
  <c r="M70" i="12"/>
  <c r="L70" i="12"/>
  <c r="K70" i="12"/>
  <c r="H70" i="12"/>
  <c r="M69" i="12"/>
  <c r="L69" i="12"/>
  <c r="K69" i="12"/>
  <c r="H69" i="12"/>
  <c r="M68" i="12"/>
  <c r="L68" i="12"/>
  <c r="K68" i="12"/>
  <c r="H68" i="12"/>
  <c r="M67" i="12"/>
  <c r="L67" i="12"/>
  <c r="K67" i="12"/>
  <c r="H67" i="12"/>
  <c r="M66" i="12"/>
  <c r="L66" i="12"/>
  <c r="K66" i="12"/>
  <c r="H66" i="12"/>
  <c r="M65" i="12"/>
  <c r="L65" i="12"/>
  <c r="K65" i="12"/>
  <c r="H65" i="12"/>
  <c r="M64" i="12"/>
  <c r="L64" i="12"/>
  <c r="K64" i="12"/>
  <c r="H64" i="12"/>
  <c r="M63" i="12"/>
  <c r="L63" i="12"/>
  <c r="K63" i="12"/>
  <c r="H63" i="12"/>
  <c r="M62" i="12"/>
  <c r="L62" i="12"/>
  <c r="K62" i="12"/>
  <c r="H62" i="12"/>
  <c r="M61" i="12"/>
  <c r="L61" i="12"/>
  <c r="K61" i="12"/>
  <c r="H61" i="12"/>
  <c r="M60" i="12"/>
  <c r="L60" i="12"/>
  <c r="K60" i="12"/>
  <c r="H60" i="12"/>
  <c r="M59" i="12"/>
  <c r="L59" i="12"/>
  <c r="K59" i="12"/>
  <c r="H59" i="12"/>
  <c r="M58" i="12"/>
  <c r="L58" i="12"/>
  <c r="K58" i="12"/>
  <c r="H58" i="12"/>
  <c r="M57" i="12"/>
  <c r="L57" i="12"/>
  <c r="K57" i="12"/>
  <c r="H57" i="12"/>
  <c r="M56" i="12"/>
  <c r="L56" i="12"/>
  <c r="K56" i="12"/>
  <c r="H56" i="12"/>
  <c r="M55" i="12"/>
  <c r="L55" i="12"/>
  <c r="K55" i="12"/>
  <c r="H55" i="12"/>
  <c r="M54" i="12"/>
  <c r="L54" i="12"/>
  <c r="K54" i="12"/>
  <c r="H54" i="12"/>
  <c r="M53" i="12"/>
  <c r="L53" i="12"/>
  <c r="K53" i="12"/>
  <c r="H53" i="12"/>
  <c r="M52" i="12"/>
  <c r="L52" i="12"/>
  <c r="K52" i="12"/>
  <c r="H52" i="12"/>
  <c r="M51" i="12"/>
  <c r="L51" i="12"/>
  <c r="K51" i="12"/>
  <c r="H51" i="12"/>
  <c r="M50" i="12"/>
  <c r="L50" i="12"/>
  <c r="K50" i="12"/>
  <c r="H50" i="12"/>
  <c r="M49" i="12"/>
  <c r="L49" i="12"/>
  <c r="K49" i="12"/>
  <c r="H49" i="12"/>
  <c r="M48" i="12"/>
  <c r="L48" i="12"/>
  <c r="K48" i="12"/>
  <c r="H48" i="12"/>
  <c r="M47" i="12"/>
  <c r="L47" i="12"/>
  <c r="K47" i="12"/>
  <c r="H47" i="12"/>
  <c r="M46" i="12"/>
  <c r="L46" i="12"/>
  <c r="K46" i="12"/>
  <c r="H46" i="12"/>
  <c r="M45" i="12"/>
  <c r="L45" i="12"/>
  <c r="K45" i="12"/>
  <c r="H45" i="12"/>
  <c r="M44" i="12"/>
  <c r="L44" i="12"/>
  <c r="K44" i="12"/>
  <c r="H44" i="12"/>
  <c r="M43" i="12"/>
  <c r="L43" i="12"/>
  <c r="K43" i="12"/>
  <c r="H43" i="12"/>
  <c r="M42" i="12"/>
  <c r="L42" i="12"/>
  <c r="K42" i="12"/>
  <c r="H42" i="12"/>
  <c r="M41" i="12"/>
  <c r="L41" i="12"/>
  <c r="K41" i="12"/>
  <c r="H41" i="12"/>
  <c r="M40" i="12"/>
  <c r="L40" i="12"/>
  <c r="K40" i="12"/>
  <c r="H40" i="12"/>
  <c r="M39" i="12"/>
  <c r="L39" i="12"/>
  <c r="K39" i="12"/>
  <c r="H39" i="12"/>
  <c r="M38" i="12"/>
  <c r="L38" i="12"/>
  <c r="K38" i="12"/>
  <c r="H38" i="12"/>
  <c r="M37" i="12"/>
  <c r="L37" i="12"/>
  <c r="K37" i="12"/>
  <c r="H37" i="12"/>
  <c r="M36" i="12"/>
  <c r="L36" i="12"/>
  <c r="K36" i="12"/>
  <c r="H36" i="12"/>
  <c r="M35" i="12"/>
  <c r="L35" i="12"/>
  <c r="K35" i="12"/>
  <c r="H35" i="12"/>
  <c r="M34" i="12"/>
  <c r="L34" i="12"/>
  <c r="K34" i="12"/>
  <c r="H34" i="12"/>
  <c r="M33" i="12"/>
  <c r="L33" i="12"/>
  <c r="K33" i="12"/>
  <c r="H33" i="12"/>
  <c r="M32" i="12"/>
  <c r="L32" i="12"/>
  <c r="K32" i="12"/>
  <c r="H32" i="12"/>
  <c r="M31" i="12"/>
  <c r="L31" i="12"/>
  <c r="K31" i="12"/>
  <c r="H31" i="12"/>
  <c r="M30" i="12"/>
  <c r="L30" i="12"/>
  <c r="K30" i="12"/>
  <c r="H30" i="12"/>
  <c r="M29" i="12"/>
  <c r="L29" i="12"/>
  <c r="K29" i="12"/>
  <c r="H29" i="12"/>
  <c r="M28" i="12"/>
  <c r="L28" i="12"/>
  <c r="K28" i="12"/>
  <c r="H28" i="12"/>
  <c r="M27" i="12"/>
  <c r="L27" i="12"/>
  <c r="K27" i="12"/>
  <c r="H27" i="12"/>
  <c r="M26" i="12"/>
  <c r="L26" i="12"/>
  <c r="K26" i="12"/>
  <c r="H26" i="12"/>
  <c r="M25" i="12"/>
  <c r="L25" i="12"/>
  <c r="K25" i="12"/>
  <c r="H25" i="12"/>
  <c r="M24" i="12"/>
  <c r="L24" i="12"/>
  <c r="K24" i="12"/>
  <c r="H24" i="12"/>
  <c r="M23" i="12"/>
  <c r="L23" i="12"/>
  <c r="K23" i="12"/>
  <c r="H23" i="12"/>
  <c r="M22" i="12"/>
  <c r="L22" i="12"/>
  <c r="K22" i="12"/>
  <c r="H22" i="12"/>
  <c r="M21" i="12"/>
  <c r="L21" i="12"/>
  <c r="K21" i="12"/>
  <c r="H21" i="12"/>
  <c r="M20" i="12"/>
  <c r="L20" i="12"/>
  <c r="K20" i="12"/>
  <c r="H20" i="12"/>
  <c r="M19" i="12"/>
  <c r="L19" i="12"/>
  <c r="K19" i="12"/>
  <c r="H19" i="12"/>
  <c r="M18" i="12"/>
  <c r="L18" i="12"/>
  <c r="K18" i="12"/>
  <c r="H18" i="12"/>
  <c r="M17" i="12"/>
  <c r="L17" i="12"/>
  <c r="K17" i="12"/>
  <c r="H17" i="12"/>
  <c r="M16" i="12"/>
  <c r="L16" i="12"/>
  <c r="K16" i="12"/>
  <c r="H16" i="12"/>
  <c r="M15" i="12"/>
  <c r="L15" i="12"/>
  <c r="K15" i="12"/>
  <c r="H15" i="12"/>
  <c r="M14" i="12"/>
  <c r="L14" i="12"/>
  <c r="K14" i="12"/>
  <c r="H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M9" i="12"/>
  <c r="L9" i="12"/>
  <c r="K9" i="12"/>
  <c r="M8" i="12"/>
  <c r="L8" i="12"/>
  <c r="K8" i="12"/>
  <c r="M7" i="12"/>
  <c r="L7" i="12"/>
  <c r="K7" i="12"/>
  <c r="M6" i="12"/>
  <c r="L6" i="12"/>
  <c r="K6" i="12"/>
  <c r="M5" i="12"/>
  <c r="L5" i="12"/>
  <c r="K5" i="12"/>
  <c r="M4" i="12"/>
  <c r="L4" i="12"/>
  <c r="K4" i="12"/>
  <c r="M3" i="12"/>
  <c r="L3" i="12"/>
  <c r="K3" i="12"/>
  <c r="M2" i="12"/>
  <c r="L2" i="12"/>
  <c r="K2" i="12"/>
  <c r="M75" i="11"/>
  <c r="L75" i="11"/>
  <c r="K75" i="11"/>
  <c r="H75" i="11"/>
  <c r="M74" i="11"/>
  <c r="L74" i="11"/>
  <c r="K74" i="11"/>
  <c r="H74" i="11"/>
  <c r="M73" i="11"/>
  <c r="L73" i="11"/>
  <c r="K73" i="11"/>
  <c r="H73" i="11"/>
  <c r="M72" i="11"/>
  <c r="L72" i="11"/>
  <c r="K72" i="11"/>
  <c r="H72" i="11"/>
  <c r="M71" i="11"/>
  <c r="L71" i="11"/>
  <c r="K71" i="11"/>
  <c r="H71" i="11"/>
  <c r="M70" i="11"/>
  <c r="L70" i="11"/>
  <c r="K70" i="11"/>
  <c r="H70" i="11"/>
  <c r="M69" i="11"/>
  <c r="L69" i="11"/>
  <c r="K69" i="11"/>
  <c r="H69" i="11"/>
  <c r="M68" i="11"/>
  <c r="L68" i="11"/>
  <c r="K68" i="11"/>
  <c r="H68" i="11"/>
  <c r="M67" i="11"/>
  <c r="L67" i="11"/>
  <c r="K67" i="11"/>
  <c r="H67" i="11"/>
  <c r="M66" i="11"/>
  <c r="L66" i="11"/>
  <c r="K66" i="11"/>
  <c r="H66" i="11"/>
  <c r="M65" i="11"/>
  <c r="L65" i="11"/>
  <c r="K65" i="11"/>
  <c r="H65" i="11"/>
  <c r="M64" i="11"/>
  <c r="L64" i="11"/>
  <c r="K64" i="11"/>
  <c r="H64" i="11"/>
  <c r="M63" i="11"/>
  <c r="L63" i="11"/>
  <c r="K63" i="11"/>
  <c r="H63" i="11"/>
  <c r="M62" i="11"/>
  <c r="L62" i="11"/>
  <c r="K62" i="11"/>
  <c r="H62" i="11"/>
  <c r="M61" i="11"/>
  <c r="L61" i="11"/>
  <c r="K61" i="11"/>
  <c r="H61" i="11"/>
  <c r="M60" i="11"/>
  <c r="L60" i="11"/>
  <c r="K60" i="11"/>
  <c r="H60" i="11"/>
  <c r="M59" i="11"/>
  <c r="L59" i="11"/>
  <c r="K59" i="11"/>
  <c r="H59" i="11"/>
  <c r="M58" i="11"/>
  <c r="L58" i="11"/>
  <c r="K58" i="11"/>
  <c r="H58" i="11"/>
  <c r="M57" i="11"/>
  <c r="L57" i="11"/>
  <c r="K57" i="11"/>
  <c r="H57" i="11"/>
  <c r="M56" i="11"/>
  <c r="L56" i="11"/>
  <c r="K56" i="11"/>
  <c r="H56" i="11"/>
  <c r="M55" i="11"/>
  <c r="L55" i="11"/>
  <c r="K55" i="11"/>
  <c r="H55" i="11"/>
  <c r="M54" i="11"/>
  <c r="L54" i="11"/>
  <c r="K54" i="11"/>
  <c r="H54" i="11"/>
  <c r="M53" i="11"/>
  <c r="L53" i="11"/>
  <c r="K53" i="11"/>
  <c r="H53" i="11"/>
  <c r="M52" i="11"/>
  <c r="L52" i="11"/>
  <c r="K52" i="11"/>
  <c r="H52" i="11"/>
  <c r="M51" i="11"/>
  <c r="L51" i="11"/>
  <c r="K51" i="11"/>
  <c r="H51" i="11"/>
  <c r="M50" i="11"/>
  <c r="L50" i="11"/>
  <c r="K50" i="11"/>
  <c r="H50" i="11"/>
  <c r="M49" i="11"/>
  <c r="L49" i="11"/>
  <c r="K49" i="11"/>
  <c r="H49" i="11"/>
  <c r="M48" i="11"/>
  <c r="L48" i="11"/>
  <c r="K48" i="11"/>
  <c r="H48" i="11"/>
  <c r="M47" i="11"/>
  <c r="L47" i="11"/>
  <c r="K47" i="11"/>
  <c r="H47" i="11"/>
  <c r="M46" i="11"/>
  <c r="L46" i="11"/>
  <c r="K46" i="11"/>
  <c r="H46" i="11"/>
  <c r="M45" i="11"/>
  <c r="L45" i="11"/>
  <c r="K45" i="11"/>
  <c r="H45" i="11"/>
  <c r="M44" i="11"/>
  <c r="L44" i="11"/>
  <c r="K44" i="11"/>
  <c r="H44" i="11"/>
  <c r="M43" i="11"/>
  <c r="L43" i="11"/>
  <c r="K43" i="11"/>
  <c r="H43" i="11"/>
  <c r="M42" i="11"/>
  <c r="L42" i="11"/>
  <c r="K42" i="11"/>
  <c r="H42" i="11"/>
  <c r="M41" i="11"/>
  <c r="L41" i="11"/>
  <c r="K41" i="11"/>
  <c r="H41" i="11"/>
  <c r="M40" i="11"/>
  <c r="L40" i="11"/>
  <c r="K40" i="11"/>
  <c r="H40" i="11"/>
  <c r="M39" i="11"/>
  <c r="L39" i="11"/>
  <c r="K39" i="11"/>
  <c r="H39" i="11"/>
  <c r="M38" i="11"/>
  <c r="L38" i="11"/>
  <c r="K38" i="11"/>
  <c r="H38" i="11"/>
  <c r="M37" i="11"/>
  <c r="L37" i="11"/>
  <c r="K37" i="11"/>
  <c r="H37" i="11"/>
  <c r="M36" i="11"/>
  <c r="L36" i="11"/>
  <c r="K36" i="11"/>
  <c r="H36" i="11"/>
  <c r="M35" i="11"/>
  <c r="L35" i="11"/>
  <c r="K35" i="11"/>
  <c r="H35" i="11"/>
  <c r="M34" i="11"/>
  <c r="L34" i="11"/>
  <c r="K34" i="11"/>
  <c r="H34" i="11"/>
  <c r="M33" i="11"/>
  <c r="L33" i="11"/>
  <c r="K33" i="11"/>
  <c r="H33" i="11"/>
  <c r="M32" i="11"/>
  <c r="L32" i="11"/>
  <c r="K32" i="11"/>
  <c r="H32" i="11"/>
  <c r="M31" i="11"/>
  <c r="L31" i="11"/>
  <c r="K31" i="11"/>
  <c r="H31" i="11"/>
  <c r="M30" i="11"/>
  <c r="L30" i="11"/>
  <c r="K30" i="11"/>
  <c r="H30" i="11"/>
  <c r="M29" i="11"/>
  <c r="L29" i="11"/>
  <c r="K29" i="11"/>
  <c r="H29" i="11"/>
  <c r="M28" i="11"/>
  <c r="L28" i="11"/>
  <c r="K28" i="11"/>
  <c r="H28" i="11"/>
  <c r="M27" i="11"/>
  <c r="L27" i="11"/>
  <c r="K27" i="11"/>
  <c r="H27" i="11"/>
  <c r="M26" i="11"/>
  <c r="L26" i="11"/>
  <c r="K26" i="11"/>
  <c r="H26" i="11"/>
  <c r="M25" i="11"/>
  <c r="L25" i="11"/>
  <c r="K25" i="11"/>
  <c r="H25" i="11"/>
  <c r="M24" i="11"/>
  <c r="L24" i="11"/>
  <c r="K24" i="11"/>
  <c r="H24" i="11"/>
  <c r="M23" i="11"/>
  <c r="L23" i="11"/>
  <c r="K23" i="11"/>
  <c r="H23" i="11"/>
  <c r="M22" i="11"/>
  <c r="L22" i="11"/>
  <c r="K22" i="11"/>
  <c r="H22" i="11"/>
  <c r="M21" i="11"/>
  <c r="L21" i="11"/>
  <c r="K21" i="11"/>
  <c r="H21" i="11"/>
  <c r="M20" i="11"/>
  <c r="L20" i="11"/>
  <c r="K20" i="11"/>
  <c r="H20" i="11"/>
  <c r="M19" i="11"/>
  <c r="L19" i="11"/>
  <c r="K19" i="11"/>
  <c r="H19" i="11"/>
  <c r="M18" i="11"/>
  <c r="L18" i="11"/>
  <c r="K18" i="11"/>
  <c r="H18" i="11"/>
  <c r="M17" i="11"/>
  <c r="L17" i="11"/>
  <c r="K17" i="11"/>
  <c r="H17" i="11"/>
  <c r="M16" i="11"/>
  <c r="L16" i="11"/>
  <c r="K16" i="11"/>
  <c r="H16" i="11"/>
  <c r="M15" i="11"/>
  <c r="L15" i="11"/>
  <c r="K15" i="11"/>
  <c r="H15" i="11"/>
  <c r="M14" i="11"/>
  <c r="L14" i="11"/>
  <c r="K14" i="11"/>
  <c r="H14" i="11"/>
  <c r="M13" i="11"/>
  <c r="L13" i="11"/>
  <c r="K13" i="11"/>
  <c r="M12" i="11"/>
  <c r="L12" i="11"/>
  <c r="K12" i="11"/>
  <c r="M11" i="11"/>
  <c r="L11" i="11"/>
  <c r="K11" i="11"/>
  <c r="M10" i="11"/>
  <c r="L10" i="11"/>
  <c r="K10" i="11"/>
  <c r="M9" i="11"/>
  <c r="L9" i="11"/>
  <c r="K9" i="11"/>
  <c r="M8" i="11"/>
  <c r="L8" i="11"/>
  <c r="K8" i="11"/>
  <c r="M7" i="11"/>
  <c r="L7" i="11"/>
  <c r="K7" i="11"/>
  <c r="M6" i="11"/>
  <c r="L6" i="11"/>
  <c r="K6" i="11"/>
  <c r="M5" i="11"/>
  <c r="L5" i="11"/>
  <c r="K5" i="11"/>
  <c r="M4" i="11"/>
  <c r="L4" i="11"/>
  <c r="K4" i="11"/>
  <c r="M3" i="11"/>
  <c r="L3" i="11"/>
  <c r="K3" i="11"/>
  <c r="M2" i="11"/>
  <c r="L2" i="11"/>
  <c r="K2" i="11"/>
  <c r="M75" i="10"/>
  <c r="L75" i="10"/>
  <c r="K75" i="10"/>
  <c r="H75" i="10"/>
  <c r="M74" i="10"/>
  <c r="L74" i="10"/>
  <c r="K74" i="10"/>
  <c r="H74" i="10"/>
  <c r="M73" i="10"/>
  <c r="L73" i="10"/>
  <c r="K73" i="10"/>
  <c r="H73" i="10"/>
  <c r="M72" i="10"/>
  <c r="L72" i="10"/>
  <c r="K72" i="10"/>
  <c r="H72" i="10"/>
  <c r="M71" i="10"/>
  <c r="L71" i="10"/>
  <c r="K71" i="10"/>
  <c r="H71" i="10"/>
  <c r="M70" i="10"/>
  <c r="L70" i="10"/>
  <c r="K70" i="10"/>
  <c r="H70" i="10"/>
  <c r="M69" i="10"/>
  <c r="L69" i="10"/>
  <c r="K69" i="10"/>
  <c r="H69" i="10"/>
  <c r="M68" i="10"/>
  <c r="L68" i="10"/>
  <c r="K68" i="10"/>
  <c r="H68" i="10"/>
  <c r="M67" i="10"/>
  <c r="L67" i="10"/>
  <c r="K67" i="10"/>
  <c r="H67" i="10"/>
  <c r="M66" i="10"/>
  <c r="L66" i="10"/>
  <c r="K66" i="10"/>
  <c r="H66" i="10"/>
  <c r="M65" i="10"/>
  <c r="L65" i="10"/>
  <c r="K65" i="10"/>
  <c r="H65" i="10"/>
  <c r="M64" i="10"/>
  <c r="L64" i="10"/>
  <c r="K64" i="10"/>
  <c r="H64" i="10"/>
  <c r="M63" i="10"/>
  <c r="L63" i="10"/>
  <c r="K63" i="10"/>
  <c r="H63" i="10"/>
  <c r="M62" i="10"/>
  <c r="L62" i="10"/>
  <c r="K62" i="10"/>
  <c r="H62" i="10"/>
  <c r="M61" i="10"/>
  <c r="L61" i="10"/>
  <c r="K61" i="10"/>
  <c r="H61" i="10"/>
  <c r="M60" i="10"/>
  <c r="L60" i="10"/>
  <c r="K60" i="10"/>
  <c r="H60" i="10"/>
  <c r="M59" i="10"/>
  <c r="L59" i="10"/>
  <c r="K59" i="10"/>
  <c r="H59" i="10"/>
  <c r="M58" i="10"/>
  <c r="L58" i="10"/>
  <c r="K58" i="10"/>
  <c r="H58" i="10"/>
  <c r="M57" i="10"/>
  <c r="L57" i="10"/>
  <c r="K57" i="10"/>
  <c r="H57" i="10"/>
  <c r="M56" i="10"/>
  <c r="L56" i="10"/>
  <c r="K56" i="10"/>
  <c r="H56" i="10"/>
  <c r="M55" i="10"/>
  <c r="L55" i="10"/>
  <c r="K55" i="10"/>
  <c r="H55" i="10"/>
  <c r="M54" i="10"/>
  <c r="L54" i="10"/>
  <c r="K54" i="10"/>
  <c r="H54" i="10"/>
  <c r="M53" i="10"/>
  <c r="L53" i="10"/>
  <c r="K53" i="10"/>
  <c r="H53" i="10"/>
  <c r="M52" i="10"/>
  <c r="L52" i="10"/>
  <c r="K52" i="10"/>
  <c r="H52" i="10"/>
  <c r="M51" i="10"/>
  <c r="L51" i="10"/>
  <c r="K51" i="10"/>
  <c r="H51" i="10"/>
  <c r="M50" i="10"/>
  <c r="L50" i="10"/>
  <c r="K50" i="10"/>
  <c r="H50" i="10"/>
  <c r="M49" i="10"/>
  <c r="L49" i="10"/>
  <c r="K49" i="10"/>
  <c r="H49" i="10"/>
  <c r="M48" i="10"/>
  <c r="L48" i="10"/>
  <c r="K48" i="10"/>
  <c r="H48" i="10"/>
  <c r="M47" i="10"/>
  <c r="L47" i="10"/>
  <c r="K47" i="10"/>
  <c r="H47" i="10"/>
  <c r="M46" i="10"/>
  <c r="L46" i="10"/>
  <c r="K46" i="10"/>
  <c r="H46" i="10"/>
  <c r="M45" i="10"/>
  <c r="L45" i="10"/>
  <c r="K45" i="10"/>
  <c r="H45" i="10"/>
  <c r="M44" i="10"/>
  <c r="L44" i="10"/>
  <c r="K44" i="10"/>
  <c r="H44" i="10"/>
  <c r="M43" i="10"/>
  <c r="L43" i="10"/>
  <c r="K43" i="10"/>
  <c r="H43" i="10"/>
  <c r="M42" i="10"/>
  <c r="L42" i="10"/>
  <c r="K42" i="10"/>
  <c r="H42" i="10"/>
  <c r="M41" i="10"/>
  <c r="L41" i="10"/>
  <c r="K41" i="10"/>
  <c r="H41" i="10"/>
  <c r="M40" i="10"/>
  <c r="L40" i="10"/>
  <c r="K40" i="10"/>
  <c r="H40" i="10"/>
  <c r="M39" i="10"/>
  <c r="L39" i="10"/>
  <c r="K39" i="10"/>
  <c r="H39" i="10"/>
  <c r="M38" i="10"/>
  <c r="L38" i="10"/>
  <c r="K38" i="10"/>
  <c r="H38" i="10"/>
  <c r="M37" i="10"/>
  <c r="L37" i="10"/>
  <c r="K37" i="10"/>
  <c r="H37" i="10"/>
  <c r="M36" i="10"/>
  <c r="L36" i="10"/>
  <c r="K36" i="10"/>
  <c r="H36" i="10"/>
  <c r="M35" i="10"/>
  <c r="L35" i="10"/>
  <c r="K35" i="10"/>
  <c r="H35" i="10"/>
  <c r="M34" i="10"/>
  <c r="L34" i="10"/>
  <c r="K34" i="10"/>
  <c r="H34" i="10"/>
  <c r="M33" i="10"/>
  <c r="L33" i="10"/>
  <c r="K33" i="10"/>
  <c r="H33" i="10"/>
  <c r="M32" i="10"/>
  <c r="L32" i="10"/>
  <c r="K32" i="10"/>
  <c r="H32" i="10"/>
  <c r="M31" i="10"/>
  <c r="L31" i="10"/>
  <c r="K31" i="10"/>
  <c r="H31" i="10"/>
  <c r="M30" i="10"/>
  <c r="L30" i="10"/>
  <c r="K30" i="10"/>
  <c r="H30" i="10"/>
  <c r="M29" i="10"/>
  <c r="L29" i="10"/>
  <c r="K29" i="10"/>
  <c r="H29" i="10"/>
  <c r="M28" i="10"/>
  <c r="L28" i="10"/>
  <c r="K28" i="10"/>
  <c r="H28" i="10"/>
  <c r="M27" i="10"/>
  <c r="L27" i="10"/>
  <c r="K27" i="10"/>
  <c r="H27" i="10"/>
  <c r="M26" i="10"/>
  <c r="L26" i="10"/>
  <c r="K26" i="10"/>
  <c r="H26" i="10"/>
  <c r="M25" i="10"/>
  <c r="L25" i="10"/>
  <c r="K25" i="10"/>
  <c r="H25" i="10"/>
  <c r="M24" i="10"/>
  <c r="L24" i="10"/>
  <c r="K24" i="10"/>
  <c r="H24" i="10"/>
  <c r="M23" i="10"/>
  <c r="L23" i="10"/>
  <c r="K23" i="10"/>
  <c r="H23" i="10"/>
  <c r="M22" i="10"/>
  <c r="L22" i="10"/>
  <c r="K22" i="10"/>
  <c r="H22" i="10"/>
  <c r="M21" i="10"/>
  <c r="L21" i="10"/>
  <c r="K21" i="10"/>
  <c r="H21" i="10"/>
  <c r="M20" i="10"/>
  <c r="L20" i="10"/>
  <c r="K20" i="10"/>
  <c r="H20" i="10"/>
  <c r="M19" i="10"/>
  <c r="L19" i="10"/>
  <c r="K19" i="10"/>
  <c r="H19" i="10"/>
  <c r="M18" i="10"/>
  <c r="L18" i="10"/>
  <c r="K18" i="10"/>
  <c r="H18" i="10"/>
  <c r="M17" i="10"/>
  <c r="L17" i="10"/>
  <c r="K17" i="10"/>
  <c r="H17" i="10"/>
  <c r="M16" i="10"/>
  <c r="L16" i="10"/>
  <c r="K16" i="10"/>
  <c r="H16" i="10"/>
  <c r="M15" i="10"/>
  <c r="L15" i="10"/>
  <c r="K15" i="10"/>
  <c r="H15" i="10"/>
  <c r="M14" i="10"/>
  <c r="L14" i="10"/>
  <c r="K14" i="10"/>
  <c r="H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M4" i="10"/>
  <c r="L4" i="10"/>
  <c r="K4" i="10"/>
  <c r="M3" i="10"/>
  <c r="L3" i="10"/>
  <c r="K3" i="10"/>
  <c r="M2" i="10"/>
  <c r="L2" i="10"/>
  <c r="K2" i="10"/>
  <c r="M75" i="9"/>
  <c r="L75" i="9"/>
  <c r="K75" i="9"/>
  <c r="H75" i="9"/>
  <c r="M74" i="9"/>
  <c r="L74" i="9"/>
  <c r="K74" i="9"/>
  <c r="H74" i="9"/>
  <c r="M73" i="9"/>
  <c r="L73" i="9"/>
  <c r="K73" i="9"/>
  <c r="H73" i="9"/>
  <c r="M72" i="9"/>
  <c r="L72" i="9"/>
  <c r="K72" i="9"/>
  <c r="H72" i="9"/>
  <c r="M71" i="9"/>
  <c r="L71" i="9"/>
  <c r="K71" i="9"/>
  <c r="H71" i="9"/>
  <c r="M70" i="9"/>
  <c r="L70" i="9"/>
  <c r="K70" i="9"/>
  <c r="H70" i="9"/>
  <c r="M69" i="9"/>
  <c r="L69" i="9"/>
  <c r="K69" i="9"/>
  <c r="H69" i="9"/>
  <c r="M68" i="9"/>
  <c r="L68" i="9"/>
  <c r="K68" i="9"/>
  <c r="H68" i="9"/>
  <c r="M67" i="9"/>
  <c r="L67" i="9"/>
  <c r="K67" i="9"/>
  <c r="H67" i="9"/>
  <c r="M66" i="9"/>
  <c r="L66" i="9"/>
  <c r="K66" i="9"/>
  <c r="H66" i="9"/>
  <c r="M65" i="9"/>
  <c r="L65" i="9"/>
  <c r="K65" i="9"/>
  <c r="H65" i="9"/>
  <c r="M64" i="9"/>
  <c r="L64" i="9"/>
  <c r="K64" i="9"/>
  <c r="H64" i="9"/>
  <c r="M63" i="9"/>
  <c r="L63" i="9"/>
  <c r="K63" i="9"/>
  <c r="H63" i="9"/>
  <c r="M62" i="9"/>
  <c r="L62" i="9"/>
  <c r="K62" i="9"/>
  <c r="H62" i="9"/>
  <c r="M61" i="9"/>
  <c r="L61" i="9"/>
  <c r="K61" i="9"/>
  <c r="H61" i="9"/>
  <c r="M60" i="9"/>
  <c r="L60" i="9"/>
  <c r="K60" i="9"/>
  <c r="H60" i="9"/>
  <c r="M59" i="9"/>
  <c r="L59" i="9"/>
  <c r="K59" i="9"/>
  <c r="H59" i="9"/>
  <c r="M58" i="9"/>
  <c r="L58" i="9"/>
  <c r="K58" i="9"/>
  <c r="H58" i="9"/>
  <c r="M57" i="9"/>
  <c r="L57" i="9"/>
  <c r="K57" i="9"/>
  <c r="H57" i="9"/>
  <c r="M56" i="9"/>
  <c r="L56" i="9"/>
  <c r="K56" i="9"/>
  <c r="H56" i="9"/>
  <c r="M55" i="9"/>
  <c r="L55" i="9"/>
  <c r="K55" i="9"/>
  <c r="H55" i="9"/>
  <c r="M54" i="9"/>
  <c r="L54" i="9"/>
  <c r="K54" i="9"/>
  <c r="H54" i="9"/>
  <c r="M53" i="9"/>
  <c r="L53" i="9"/>
  <c r="K53" i="9"/>
  <c r="H53" i="9"/>
  <c r="M52" i="9"/>
  <c r="L52" i="9"/>
  <c r="K52" i="9"/>
  <c r="H52" i="9"/>
  <c r="M51" i="9"/>
  <c r="L51" i="9"/>
  <c r="K51" i="9"/>
  <c r="H51" i="9"/>
  <c r="M50" i="9"/>
  <c r="L50" i="9"/>
  <c r="K50" i="9"/>
  <c r="H50" i="9"/>
  <c r="M49" i="9"/>
  <c r="L49" i="9"/>
  <c r="K49" i="9"/>
  <c r="H49" i="9"/>
  <c r="M48" i="9"/>
  <c r="L48" i="9"/>
  <c r="K48" i="9"/>
  <c r="H48" i="9"/>
  <c r="M47" i="9"/>
  <c r="L47" i="9"/>
  <c r="K47" i="9"/>
  <c r="H47" i="9"/>
  <c r="M46" i="9"/>
  <c r="L46" i="9"/>
  <c r="K46" i="9"/>
  <c r="H46" i="9"/>
  <c r="M45" i="9"/>
  <c r="L45" i="9"/>
  <c r="K45" i="9"/>
  <c r="H45" i="9"/>
  <c r="M44" i="9"/>
  <c r="L44" i="9"/>
  <c r="K44" i="9"/>
  <c r="H44" i="9"/>
  <c r="M43" i="9"/>
  <c r="L43" i="9"/>
  <c r="K43" i="9"/>
  <c r="H43" i="9"/>
  <c r="M42" i="9"/>
  <c r="L42" i="9"/>
  <c r="K42" i="9"/>
  <c r="H42" i="9"/>
  <c r="M41" i="9"/>
  <c r="L41" i="9"/>
  <c r="K41" i="9"/>
  <c r="H41" i="9"/>
  <c r="M40" i="9"/>
  <c r="L40" i="9"/>
  <c r="K40" i="9"/>
  <c r="H40" i="9"/>
  <c r="M39" i="9"/>
  <c r="L39" i="9"/>
  <c r="K39" i="9"/>
  <c r="H39" i="9"/>
  <c r="M38" i="9"/>
  <c r="L38" i="9"/>
  <c r="K38" i="9"/>
  <c r="H38" i="9"/>
  <c r="M37" i="9"/>
  <c r="L37" i="9"/>
  <c r="K37" i="9"/>
  <c r="H37" i="9"/>
  <c r="M36" i="9"/>
  <c r="L36" i="9"/>
  <c r="K36" i="9"/>
  <c r="H36" i="9"/>
  <c r="M35" i="9"/>
  <c r="L35" i="9"/>
  <c r="K35" i="9"/>
  <c r="H35" i="9"/>
  <c r="M34" i="9"/>
  <c r="L34" i="9"/>
  <c r="K34" i="9"/>
  <c r="H34" i="9"/>
  <c r="M33" i="9"/>
  <c r="L33" i="9"/>
  <c r="K33" i="9"/>
  <c r="H33" i="9"/>
  <c r="M32" i="9"/>
  <c r="L32" i="9"/>
  <c r="K32" i="9"/>
  <c r="H32" i="9"/>
  <c r="M31" i="9"/>
  <c r="L31" i="9"/>
  <c r="K31" i="9"/>
  <c r="H31" i="9"/>
  <c r="M30" i="9"/>
  <c r="L30" i="9"/>
  <c r="K30" i="9"/>
  <c r="H30" i="9"/>
  <c r="M29" i="9"/>
  <c r="L29" i="9"/>
  <c r="K29" i="9"/>
  <c r="H29" i="9"/>
  <c r="M28" i="9"/>
  <c r="L28" i="9"/>
  <c r="K28" i="9"/>
  <c r="H28" i="9"/>
  <c r="M27" i="9"/>
  <c r="L27" i="9"/>
  <c r="K27" i="9"/>
  <c r="H27" i="9"/>
  <c r="M26" i="9"/>
  <c r="L26" i="9"/>
  <c r="K26" i="9"/>
  <c r="H26" i="9"/>
  <c r="M25" i="9"/>
  <c r="L25" i="9"/>
  <c r="K25" i="9"/>
  <c r="H25" i="9"/>
  <c r="M24" i="9"/>
  <c r="L24" i="9"/>
  <c r="K24" i="9"/>
  <c r="H24" i="9"/>
  <c r="M23" i="9"/>
  <c r="L23" i="9"/>
  <c r="K23" i="9"/>
  <c r="H23" i="9"/>
  <c r="M22" i="9"/>
  <c r="L22" i="9"/>
  <c r="K22" i="9"/>
  <c r="H22" i="9"/>
  <c r="M21" i="9"/>
  <c r="L21" i="9"/>
  <c r="K21" i="9"/>
  <c r="H21" i="9"/>
  <c r="M20" i="9"/>
  <c r="L20" i="9"/>
  <c r="K20" i="9"/>
  <c r="H20" i="9"/>
  <c r="M19" i="9"/>
  <c r="L19" i="9"/>
  <c r="K19" i="9"/>
  <c r="H19" i="9"/>
  <c r="M18" i="9"/>
  <c r="L18" i="9"/>
  <c r="K18" i="9"/>
  <c r="H18" i="9"/>
  <c r="M17" i="9"/>
  <c r="L17" i="9"/>
  <c r="K17" i="9"/>
  <c r="H17" i="9"/>
  <c r="M16" i="9"/>
  <c r="L16" i="9"/>
  <c r="K16" i="9"/>
  <c r="H16" i="9"/>
  <c r="M15" i="9"/>
  <c r="L15" i="9"/>
  <c r="K15" i="9"/>
  <c r="H15" i="9"/>
  <c r="M14" i="9"/>
  <c r="L14" i="9"/>
  <c r="K14" i="9"/>
  <c r="H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M2" i="9"/>
  <c r="L2" i="9"/>
  <c r="K2" i="9"/>
  <c r="M75" i="8"/>
  <c r="L75" i="8"/>
  <c r="K75" i="8"/>
  <c r="H75" i="8"/>
  <c r="M74" i="8"/>
  <c r="L74" i="8"/>
  <c r="K74" i="8"/>
  <c r="H74" i="8"/>
  <c r="M73" i="8"/>
  <c r="L73" i="8"/>
  <c r="K73" i="8"/>
  <c r="H73" i="8"/>
  <c r="M72" i="8"/>
  <c r="L72" i="8"/>
  <c r="K72" i="8"/>
  <c r="H72" i="8"/>
  <c r="M71" i="8"/>
  <c r="L71" i="8"/>
  <c r="K71" i="8"/>
  <c r="H71" i="8"/>
  <c r="M70" i="8"/>
  <c r="L70" i="8"/>
  <c r="K70" i="8"/>
  <c r="H70" i="8"/>
  <c r="M69" i="8"/>
  <c r="L69" i="8"/>
  <c r="K69" i="8"/>
  <c r="H69" i="8"/>
  <c r="M68" i="8"/>
  <c r="L68" i="8"/>
  <c r="K68" i="8"/>
  <c r="H68" i="8"/>
  <c r="M67" i="8"/>
  <c r="L67" i="8"/>
  <c r="K67" i="8"/>
  <c r="H67" i="8"/>
  <c r="M66" i="8"/>
  <c r="L66" i="8"/>
  <c r="K66" i="8"/>
  <c r="H66" i="8"/>
  <c r="M65" i="8"/>
  <c r="L65" i="8"/>
  <c r="K65" i="8"/>
  <c r="H65" i="8"/>
  <c r="M64" i="8"/>
  <c r="L64" i="8"/>
  <c r="K64" i="8"/>
  <c r="H64" i="8"/>
  <c r="M63" i="8"/>
  <c r="L63" i="8"/>
  <c r="K63" i="8"/>
  <c r="H63" i="8"/>
  <c r="M62" i="8"/>
  <c r="L62" i="8"/>
  <c r="K62" i="8"/>
  <c r="H62" i="8"/>
  <c r="M61" i="8"/>
  <c r="L61" i="8"/>
  <c r="K61" i="8"/>
  <c r="H61" i="8"/>
  <c r="M60" i="8"/>
  <c r="L60" i="8"/>
  <c r="K60" i="8"/>
  <c r="H60" i="8"/>
  <c r="M59" i="8"/>
  <c r="L59" i="8"/>
  <c r="K59" i="8"/>
  <c r="H59" i="8"/>
  <c r="M58" i="8"/>
  <c r="L58" i="8"/>
  <c r="K58" i="8"/>
  <c r="H58" i="8"/>
  <c r="M57" i="8"/>
  <c r="L57" i="8"/>
  <c r="K57" i="8"/>
  <c r="H57" i="8"/>
  <c r="M56" i="8"/>
  <c r="L56" i="8"/>
  <c r="K56" i="8"/>
  <c r="H56" i="8"/>
  <c r="M55" i="8"/>
  <c r="L55" i="8"/>
  <c r="K55" i="8"/>
  <c r="H55" i="8"/>
  <c r="M54" i="8"/>
  <c r="L54" i="8"/>
  <c r="K54" i="8"/>
  <c r="H54" i="8"/>
  <c r="M53" i="8"/>
  <c r="L53" i="8"/>
  <c r="K53" i="8"/>
  <c r="H53" i="8"/>
  <c r="M52" i="8"/>
  <c r="L52" i="8"/>
  <c r="K52" i="8"/>
  <c r="H52" i="8"/>
  <c r="M51" i="8"/>
  <c r="L51" i="8"/>
  <c r="K51" i="8"/>
  <c r="H51" i="8"/>
  <c r="M50" i="8"/>
  <c r="L50" i="8"/>
  <c r="K50" i="8"/>
  <c r="H50" i="8"/>
  <c r="M49" i="8"/>
  <c r="L49" i="8"/>
  <c r="K49" i="8"/>
  <c r="H49" i="8"/>
  <c r="M48" i="8"/>
  <c r="L48" i="8"/>
  <c r="K48" i="8"/>
  <c r="H48" i="8"/>
  <c r="M47" i="8"/>
  <c r="L47" i="8"/>
  <c r="K47" i="8"/>
  <c r="H47" i="8"/>
  <c r="M46" i="8"/>
  <c r="L46" i="8"/>
  <c r="K46" i="8"/>
  <c r="H46" i="8"/>
  <c r="M45" i="8"/>
  <c r="L45" i="8"/>
  <c r="K45" i="8"/>
  <c r="H45" i="8"/>
  <c r="M44" i="8"/>
  <c r="L44" i="8"/>
  <c r="K44" i="8"/>
  <c r="H44" i="8"/>
  <c r="M43" i="8"/>
  <c r="L43" i="8"/>
  <c r="K43" i="8"/>
  <c r="H43" i="8"/>
  <c r="M42" i="8"/>
  <c r="L42" i="8"/>
  <c r="K42" i="8"/>
  <c r="H42" i="8"/>
  <c r="M41" i="8"/>
  <c r="L41" i="8"/>
  <c r="K41" i="8"/>
  <c r="H41" i="8"/>
  <c r="M40" i="8"/>
  <c r="L40" i="8"/>
  <c r="K40" i="8"/>
  <c r="H40" i="8"/>
  <c r="M39" i="8"/>
  <c r="L39" i="8"/>
  <c r="K39" i="8"/>
  <c r="H39" i="8"/>
  <c r="M38" i="8"/>
  <c r="L38" i="8"/>
  <c r="K38" i="8"/>
  <c r="H38" i="8"/>
  <c r="M37" i="8"/>
  <c r="L37" i="8"/>
  <c r="K37" i="8"/>
  <c r="H37" i="8"/>
  <c r="M36" i="8"/>
  <c r="L36" i="8"/>
  <c r="K36" i="8"/>
  <c r="H36" i="8"/>
  <c r="M35" i="8"/>
  <c r="L35" i="8"/>
  <c r="K35" i="8"/>
  <c r="H35" i="8"/>
  <c r="M34" i="8"/>
  <c r="L34" i="8"/>
  <c r="K34" i="8"/>
  <c r="H34" i="8"/>
  <c r="M33" i="8"/>
  <c r="L33" i="8"/>
  <c r="K33" i="8"/>
  <c r="H33" i="8"/>
  <c r="M32" i="8"/>
  <c r="L32" i="8"/>
  <c r="K32" i="8"/>
  <c r="H32" i="8"/>
  <c r="M31" i="8"/>
  <c r="L31" i="8"/>
  <c r="K31" i="8"/>
  <c r="H31" i="8"/>
  <c r="M30" i="8"/>
  <c r="L30" i="8"/>
  <c r="K30" i="8"/>
  <c r="H30" i="8"/>
  <c r="M29" i="8"/>
  <c r="L29" i="8"/>
  <c r="K29" i="8"/>
  <c r="H29" i="8"/>
  <c r="M28" i="8"/>
  <c r="L28" i="8"/>
  <c r="K28" i="8"/>
  <c r="H28" i="8"/>
  <c r="M27" i="8"/>
  <c r="L27" i="8"/>
  <c r="K27" i="8"/>
  <c r="H27" i="8"/>
  <c r="M26" i="8"/>
  <c r="L26" i="8"/>
  <c r="K26" i="8"/>
  <c r="H26" i="8"/>
  <c r="M25" i="8"/>
  <c r="L25" i="8"/>
  <c r="K25" i="8"/>
  <c r="H25" i="8"/>
  <c r="M24" i="8"/>
  <c r="L24" i="8"/>
  <c r="K24" i="8"/>
  <c r="H24" i="8"/>
  <c r="M23" i="8"/>
  <c r="L23" i="8"/>
  <c r="K23" i="8"/>
  <c r="H23" i="8"/>
  <c r="M22" i="8"/>
  <c r="L22" i="8"/>
  <c r="K22" i="8"/>
  <c r="H22" i="8"/>
  <c r="M21" i="8"/>
  <c r="L21" i="8"/>
  <c r="K21" i="8"/>
  <c r="H21" i="8"/>
  <c r="M20" i="8"/>
  <c r="L20" i="8"/>
  <c r="K20" i="8"/>
  <c r="H20" i="8"/>
  <c r="M19" i="8"/>
  <c r="L19" i="8"/>
  <c r="K19" i="8"/>
  <c r="H19" i="8"/>
  <c r="M18" i="8"/>
  <c r="L18" i="8"/>
  <c r="K18" i="8"/>
  <c r="H18" i="8"/>
  <c r="M17" i="8"/>
  <c r="L17" i="8"/>
  <c r="K17" i="8"/>
  <c r="H17" i="8"/>
  <c r="M16" i="8"/>
  <c r="L16" i="8"/>
  <c r="K16" i="8"/>
  <c r="H16" i="8"/>
  <c r="M15" i="8"/>
  <c r="L15" i="8"/>
  <c r="K15" i="8"/>
  <c r="H15" i="8"/>
  <c r="M14" i="8"/>
  <c r="L14" i="8"/>
  <c r="K14" i="8"/>
  <c r="H14" i="8"/>
  <c r="M13" i="8"/>
  <c r="L13" i="8"/>
  <c r="K13" i="8"/>
  <c r="M12" i="8"/>
  <c r="L12" i="8"/>
  <c r="K12" i="8"/>
  <c r="M11" i="8"/>
  <c r="L11" i="8"/>
  <c r="K11" i="8"/>
  <c r="M10" i="8"/>
  <c r="L10" i="8"/>
  <c r="K10" i="8"/>
  <c r="M9" i="8"/>
  <c r="L9" i="8"/>
  <c r="K9" i="8"/>
  <c r="M8" i="8"/>
  <c r="L8" i="8"/>
  <c r="K8" i="8"/>
  <c r="M7" i="8"/>
  <c r="L7" i="8"/>
  <c r="K7" i="8"/>
  <c r="M6" i="8"/>
  <c r="L6" i="8"/>
  <c r="K6" i="8"/>
  <c r="M5" i="8"/>
  <c r="L5" i="8"/>
  <c r="K5" i="8"/>
  <c r="M4" i="8"/>
  <c r="L4" i="8"/>
  <c r="K4" i="8"/>
  <c r="M3" i="8"/>
  <c r="L3" i="8"/>
  <c r="K3" i="8"/>
  <c r="M2" i="8"/>
  <c r="L2" i="8"/>
  <c r="K2" i="8"/>
  <c r="M75" i="7"/>
  <c r="L75" i="7"/>
  <c r="K75" i="7"/>
  <c r="H75" i="7"/>
  <c r="M74" i="7"/>
  <c r="L74" i="7"/>
  <c r="K74" i="7"/>
  <c r="H74" i="7"/>
  <c r="M73" i="7"/>
  <c r="L73" i="7"/>
  <c r="K73" i="7"/>
  <c r="H73" i="7"/>
  <c r="M72" i="7"/>
  <c r="L72" i="7"/>
  <c r="K72" i="7"/>
  <c r="H72" i="7"/>
  <c r="M71" i="7"/>
  <c r="L71" i="7"/>
  <c r="K71" i="7"/>
  <c r="H71" i="7"/>
  <c r="M70" i="7"/>
  <c r="L70" i="7"/>
  <c r="K70" i="7"/>
  <c r="H70" i="7"/>
  <c r="M69" i="7"/>
  <c r="L69" i="7"/>
  <c r="K69" i="7"/>
  <c r="H69" i="7"/>
  <c r="M68" i="7"/>
  <c r="L68" i="7"/>
  <c r="K68" i="7"/>
  <c r="H68" i="7"/>
  <c r="M67" i="7"/>
  <c r="L67" i="7"/>
  <c r="K67" i="7"/>
  <c r="H67" i="7"/>
  <c r="M66" i="7"/>
  <c r="L66" i="7"/>
  <c r="K66" i="7"/>
  <c r="H66" i="7"/>
  <c r="M65" i="7"/>
  <c r="L65" i="7"/>
  <c r="K65" i="7"/>
  <c r="H65" i="7"/>
  <c r="M64" i="7"/>
  <c r="L64" i="7"/>
  <c r="K64" i="7"/>
  <c r="H64" i="7"/>
  <c r="M63" i="7"/>
  <c r="L63" i="7"/>
  <c r="K63" i="7"/>
  <c r="H63" i="7"/>
  <c r="M62" i="7"/>
  <c r="L62" i="7"/>
  <c r="K62" i="7"/>
  <c r="H62" i="7"/>
  <c r="M61" i="7"/>
  <c r="L61" i="7"/>
  <c r="K61" i="7"/>
  <c r="H61" i="7"/>
  <c r="M60" i="7"/>
  <c r="L60" i="7"/>
  <c r="K60" i="7"/>
  <c r="H60" i="7"/>
  <c r="M59" i="7"/>
  <c r="L59" i="7"/>
  <c r="K59" i="7"/>
  <c r="H59" i="7"/>
  <c r="M58" i="7"/>
  <c r="L58" i="7"/>
  <c r="K58" i="7"/>
  <c r="H58" i="7"/>
  <c r="M57" i="7"/>
  <c r="L57" i="7"/>
  <c r="K57" i="7"/>
  <c r="H57" i="7"/>
  <c r="M56" i="7"/>
  <c r="L56" i="7"/>
  <c r="K56" i="7"/>
  <c r="H56" i="7"/>
  <c r="M55" i="7"/>
  <c r="L55" i="7"/>
  <c r="K55" i="7"/>
  <c r="H55" i="7"/>
  <c r="M54" i="7"/>
  <c r="L54" i="7"/>
  <c r="K54" i="7"/>
  <c r="H54" i="7"/>
  <c r="M53" i="7"/>
  <c r="L53" i="7"/>
  <c r="K53" i="7"/>
  <c r="H53" i="7"/>
  <c r="M52" i="7"/>
  <c r="L52" i="7"/>
  <c r="K52" i="7"/>
  <c r="H52" i="7"/>
  <c r="M51" i="7"/>
  <c r="L51" i="7"/>
  <c r="K51" i="7"/>
  <c r="H51" i="7"/>
  <c r="M50" i="7"/>
  <c r="L50" i="7"/>
  <c r="K50" i="7"/>
  <c r="H50" i="7"/>
  <c r="M49" i="7"/>
  <c r="L49" i="7"/>
  <c r="K49" i="7"/>
  <c r="H49" i="7"/>
  <c r="M48" i="7"/>
  <c r="L48" i="7"/>
  <c r="K48" i="7"/>
  <c r="H48" i="7"/>
  <c r="M47" i="7"/>
  <c r="L47" i="7"/>
  <c r="K47" i="7"/>
  <c r="H47" i="7"/>
  <c r="M46" i="7"/>
  <c r="L46" i="7"/>
  <c r="K46" i="7"/>
  <c r="H46" i="7"/>
  <c r="M45" i="7"/>
  <c r="L45" i="7"/>
  <c r="K45" i="7"/>
  <c r="H45" i="7"/>
  <c r="M44" i="7"/>
  <c r="L44" i="7"/>
  <c r="K44" i="7"/>
  <c r="H44" i="7"/>
  <c r="M43" i="7"/>
  <c r="L43" i="7"/>
  <c r="K43" i="7"/>
  <c r="H43" i="7"/>
  <c r="M42" i="7"/>
  <c r="L42" i="7"/>
  <c r="K42" i="7"/>
  <c r="H42" i="7"/>
  <c r="M41" i="7"/>
  <c r="L41" i="7"/>
  <c r="K41" i="7"/>
  <c r="H41" i="7"/>
  <c r="M40" i="7"/>
  <c r="L40" i="7"/>
  <c r="K40" i="7"/>
  <c r="H40" i="7"/>
  <c r="M39" i="7"/>
  <c r="L39" i="7"/>
  <c r="K39" i="7"/>
  <c r="H39" i="7"/>
  <c r="M38" i="7"/>
  <c r="L38" i="7"/>
  <c r="K38" i="7"/>
  <c r="H38" i="7"/>
  <c r="M37" i="7"/>
  <c r="L37" i="7"/>
  <c r="K37" i="7"/>
  <c r="H37" i="7"/>
  <c r="M36" i="7"/>
  <c r="L36" i="7"/>
  <c r="K36" i="7"/>
  <c r="H36" i="7"/>
  <c r="M35" i="7"/>
  <c r="L35" i="7"/>
  <c r="K35" i="7"/>
  <c r="H35" i="7"/>
  <c r="M34" i="7"/>
  <c r="L34" i="7"/>
  <c r="K34" i="7"/>
  <c r="H34" i="7"/>
  <c r="M33" i="7"/>
  <c r="L33" i="7"/>
  <c r="K33" i="7"/>
  <c r="H33" i="7"/>
  <c r="M32" i="7"/>
  <c r="L32" i="7"/>
  <c r="K32" i="7"/>
  <c r="H32" i="7"/>
  <c r="M31" i="7"/>
  <c r="L31" i="7"/>
  <c r="K31" i="7"/>
  <c r="H31" i="7"/>
  <c r="M30" i="7"/>
  <c r="L30" i="7"/>
  <c r="K30" i="7"/>
  <c r="H30" i="7"/>
  <c r="M29" i="7"/>
  <c r="L29" i="7"/>
  <c r="K29" i="7"/>
  <c r="H29" i="7"/>
  <c r="M28" i="7"/>
  <c r="L28" i="7"/>
  <c r="K28" i="7"/>
  <c r="H28" i="7"/>
  <c r="M27" i="7"/>
  <c r="L27" i="7"/>
  <c r="K27" i="7"/>
  <c r="H27" i="7"/>
  <c r="M26" i="7"/>
  <c r="L26" i="7"/>
  <c r="K26" i="7"/>
  <c r="H26" i="7"/>
  <c r="M25" i="7"/>
  <c r="L25" i="7"/>
  <c r="K25" i="7"/>
  <c r="H25" i="7"/>
  <c r="M24" i="7"/>
  <c r="L24" i="7"/>
  <c r="K24" i="7"/>
  <c r="H24" i="7"/>
  <c r="M23" i="7"/>
  <c r="L23" i="7"/>
  <c r="K23" i="7"/>
  <c r="H23" i="7"/>
  <c r="M22" i="7"/>
  <c r="L22" i="7"/>
  <c r="K22" i="7"/>
  <c r="H22" i="7"/>
  <c r="M21" i="7"/>
  <c r="L21" i="7"/>
  <c r="K21" i="7"/>
  <c r="H21" i="7"/>
  <c r="M20" i="7"/>
  <c r="L20" i="7"/>
  <c r="K20" i="7"/>
  <c r="H20" i="7"/>
  <c r="M19" i="7"/>
  <c r="L19" i="7"/>
  <c r="K19" i="7"/>
  <c r="H19" i="7"/>
  <c r="M18" i="7"/>
  <c r="L18" i="7"/>
  <c r="K18" i="7"/>
  <c r="H18" i="7"/>
  <c r="M17" i="7"/>
  <c r="L17" i="7"/>
  <c r="K17" i="7"/>
  <c r="H17" i="7"/>
  <c r="M16" i="7"/>
  <c r="L16" i="7"/>
  <c r="K16" i="7"/>
  <c r="H16" i="7"/>
  <c r="M15" i="7"/>
  <c r="L15" i="7"/>
  <c r="K15" i="7"/>
  <c r="H15" i="7"/>
  <c r="M14" i="7"/>
  <c r="L14" i="7"/>
  <c r="K14" i="7"/>
  <c r="H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M75" i="6"/>
  <c r="L75" i="6"/>
  <c r="K75" i="6"/>
  <c r="H75" i="6"/>
  <c r="M74" i="6"/>
  <c r="L74" i="6"/>
  <c r="K74" i="6"/>
  <c r="H74" i="6"/>
  <c r="M73" i="6"/>
  <c r="L73" i="6"/>
  <c r="K73" i="6"/>
  <c r="H73" i="6"/>
  <c r="M72" i="6"/>
  <c r="L72" i="6"/>
  <c r="K72" i="6"/>
  <c r="H72" i="6"/>
  <c r="M71" i="6"/>
  <c r="L71" i="6"/>
  <c r="K71" i="6"/>
  <c r="H71" i="6"/>
  <c r="M70" i="6"/>
  <c r="L70" i="6"/>
  <c r="K70" i="6"/>
  <c r="H70" i="6"/>
  <c r="M69" i="6"/>
  <c r="L69" i="6"/>
  <c r="K69" i="6"/>
  <c r="H69" i="6"/>
  <c r="M68" i="6"/>
  <c r="L68" i="6"/>
  <c r="K68" i="6"/>
  <c r="H68" i="6"/>
  <c r="M67" i="6"/>
  <c r="L67" i="6"/>
  <c r="K67" i="6"/>
  <c r="H67" i="6"/>
  <c r="M66" i="6"/>
  <c r="L66" i="6"/>
  <c r="K66" i="6"/>
  <c r="H66" i="6"/>
  <c r="M65" i="6"/>
  <c r="L65" i="6"/>
  <c r="K65" i="6"/>
  <c r="H65" i="6"/>
  <c r="M64" i="6"/>
  <c r="L64" i="6"/>
  <c r="K64" i="6"/>
  <c r="H64" i="6"/>
  <c r="M63" i="6"/>
  <c r="L63" i="6"/>
  <c r="K63" i="6"/>
  <c r="H63" i="6"/>
  <c r="M62" i="6"/>
  <c r="L62" i="6"/>
  <c r="K62" i="6"/>
  <c r="H62" i="6"/>
  <c r="M61" i="6"/>
  <c r="L61" i="6"/>
  <c r="K61" i="6"/>
  <c r="H61" i="6"/>
  <c r="M60" i="6"/>
  <c r="L60" i="6"/>
  <c r="K60" i="6"/>
  <c r="H60" i="6"/>
  <c r="M59" i="6"/>
  <c r="L59" i="6"/>
  <c r="K59" i="6"/>
  <c r="H59" i="6"/>
  <c r="M58" i="6"/>
  <c r="L58" i="6"/>
  <c r="K58" i="6"/>
  <c r="H58" i="6"/>
  <c r="M57" i="6"/>
  <c r="L57" i="6"/>
  <c r="K57" i="6"/>
  <c r="H57" i="6"/>
  <c r="M56" i="6"/>
  <c r="L56" i="6"/>
  <c r="K56" i="6"/>
  <c r="H56" i="6"/>
  <c r="M55" i="6"/>
  <c r="L55" i="6"/>
  <c r="K55" i="6"/>
  <c r="H55" i="6"/>
  <c r="M54" i="6"/>
  <c r="L54" i="6"/>
  <c r="K54" i="6"/>
  <c r="H54" i="6"/>
  <c r="M53" i="6"/>
  <c r="L53" i="6"/>
  <c r="K53" i="6"/>
  <c r="H53" i="6"/>
  <c r="M52" i="6"/>
  <c r="L52" i="6"/>
  <c r="K52" i="6"/>
  <c r="H52" i="6"/>
  <c r="M51" i="6"/>
  <c r="L51" i="6"/>
  <c r="K51" i="6"/>
  <c r="H51" i="6"/>
  <c r="M50" i="6"/>
  <c r="L50" i="6"/>
  <c r="K50" i="6"/>
  <c r="H50" i="6"/>
  <c r="M49" i="6"/>
  <c r="L49" i="6"/>
  <c r="K49" i="6"/>
  <c r="H49" i="6"/>
  <c r="M48" i="6"/>
  <c r="L48" i="6"/>
  <c r="K48" i="6"/>
  <c r="H48" i="6"/>
  <c r="M47" i="6"/>
  <c r="L47" i="6"/>
  <c r="K47" i="6"/>
  <c r="H47" i="6"/>
  <c r="M46" i="6"/>
  <c r="L46" i="6"/>
  <c r="K46" i="6"/>
  <c r="H46" i="6"/>
  <c r="M45" i="6"/>
  <c r="L45" i="6"/>
  <c r="K45" i="6"/>
  <c r="H45" i="6"/>
  <c r="M44" i="6"/>
  <c r="L44" i="6"/>
  <c r="K44" i="6"/>
  <c r="H44" i="6"/>
  <c r="M43" i="6"/>
  <c r="L43" i="6"/>
  <c r="K43" i="6"/>
  <c r="H43" i="6"/>
  <c r="M42" i="6"/>
  <c r="L42" i="6"/>
  <c r="K42" i="6"/>
  <c r="H42" i="6"/>
  <c r="M41" i="6"/>
  <c r="L41" i="6"/>
  <c r="K41" i="6"/>
  <c r="H41" i="6"/>
  <c r="M40" i="6"/>
  <c r="L40" i="6"/>
  <c r="K40" i="6"/>
  <c r="H40" i="6"/>
  <c r="M39" i="6"/>
  <c r="L39" i="6"/>
  <c r="K39" i="6"/>
  <c r="H39" i="6"/>
  <c r="M38" i="6"/>
  <c r="L38" i="6"/>
  <c r="K38" i="6"/>
  <c r="H38" i="6"/>
  <c r="M37" i="6"/>
  <c r="L37" i="6"/>
  <c r="K37" i="6"/>
  <c r="H37" i="6"/>
  <c r="M36" i="6"/>
  <c r="L36" i="6"/>
  <c r="K36" i="6"/>
  <c r="H36" i="6"/>
  <c r="M35" i="6"/>
  <c r="L35" i="6"/>
  <c r="K35" i="6"/>
  <c r="H35" i="6"/>
  <c r="M34" i="6"/>
  <c r="L34" i="6"/>
  <c r="K34" i="6"/>
  <c r="H34" i="6"/>
  <c r="M33" i="6"/>
  <c r="L33" i="6"/>
  <c r="K33" i="6"/>
  <c r="H33" i="6"/>
  <c r="M32" i="6"/>
  <c r="L32" i="6"/>
  <c r="K32" i="6"/>
  <c r="H32" i="6"/>
  <c r="M31" i="6"/>
  <c r="L31" i="6"/>
  <c r="K31" i="6"/>
  <c r="H31" i="6"/>
  <c r="M30" i="6"/>
  <c r="L30" i="6"/>
  <c r="K30" i="6"/>
  <c r="H30" i="6"/>
  <c r="M29" i="6"/>
  <c r="L29" i="6"/>
  <c r="K29" i="6"/>
  <c r="H29" i="6"/>
  <c r="M28" i="6"/>
  <c r="L28" i="6"/>
  <c r="K28" i="6"/>
  <c r="H28" i="6"/>
  <c r="M27" i="6"/>
  <c r="L27" i="6"/>
  <c r="K27" i="6"/>
  <c r="H27" i="6"/>
  <c r="M26" i="6"/>
  <c r="L26" i="6"/>
  <c r="K26" i="6"/>
  <c r="H26" i="6"/>
  <c r="M25" i="6"/>
  <c r="L25" i="6"/>
  <c r="K25" i="6"/>
  <c r="H25" i="6"/>
  <c r="M24" i="6"/>
  <c r="L24" i="6"/>
  <c r="K24" i="6"/>
  <c r="H24" i="6"/>
  <c r="M23" i="6"/>
  <c r="L23" i="6"/>
  <c r="K23" i="6"/>
  <c r="H23" i="6"/>
  <c r="M22" i="6"/>
  <c r="L22" i="6"/>
  <c r="K22" i="6"/>
  <c r="H22" i="6"/>
  <c r="M21" i="6"/>
  <c r="L21" i="6"/>
  <c r="K21" i="6"/>
  <c r="H21" i="6"/>
  <c r="M20" i="6"/>
  <c r="L20" i="6"/>
  <c r="K20" i="6"/>
  <c r="H20" i="6"/>
  <c r="M19" i="6"/>
  <c r="L19" i="6"/>
  <c r="K19" i="6"/>
  <c r="H19" i="6"/>
  <c r="M18" i="6"/>
  <c r="L18" i="6"/>
  <c r="K18" i="6"/>
  <c r="H18" i="6"/>
  <c r="M17" i="6"/>
  <c r="L17" i="6"/>
  <c r="K17" i="6"/>
  <c r="H17" i="6"/>
  <c r="M16" i="6"/>
  <c r="L16" i="6"/>
  <c r="K16" i="6"/>
  <c r="H16" i="6"/>
  <c r="M15" i="6"/>
  <c r="L15" i="6"/>
  <c r="K15" i="6"/>
  <c r="H15" i="6"/>
  <c r="M14" i="6"/>
  <c r="L14" i="6"/>
  <c r="K14" i="6"/>
  <c r="H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M75" i="5"/>
  <c r="L75" i="5"/>
  <c r="K75" i="5"/>
  <c r="H75" i="5"/>
  <c r="M74" i="5"/>
  <c r="L74" i="5"/>
  <c r="K74" i="5"/>
  <c r="H74" i="5"/>
  <c r="M73" i="5"/>
  <c r="L73" i="5"/>
  <c r="K73" i="5"/>
  <c r="H73" i="5"/>
  <c r="M72" i="5"/>
  <c r="L72" i="5"/>
  <c r="K72" i="5"/>
  <c r="H72" i="5"/>
  <c r="M71" i="5"/>
  <c r="L71" i="5"/>
  <c r="K71" i="5"/>
  <c r="H71" i="5"/>
  <c r="M70" i="5"/>
  <c r="L70" i="5"/>
  <c r="K70" i="5"/>
  <c r="H70" i="5"/>
  <c r="M69" i="5"/>
  <c r="L69" i="5"/>
  <c r="K69" i="5"/>
  <c r="H69" i="5"/>
  <c r="M68" i="5"/>
  <c r="L68" i="5"/>
  <c r="K68" i="5"/>
  <c r="H68" i="5"/>
  <c r="M67" i="5"/>
  <c r="L67" i="5"/>
  <c r="K67" i="5"/>
  <c r="H67" i="5"/>
  <c r="M66" i="5"/>
  <c r="L66" i="5"/>
  <c r="K66" i="5"/>
  <c r="H66" i="5"/>
  <c r="M65" i="5"/>
  <c r="L65" i="5"/>
  <c r="K65" i="5"/>
  <c r="H65" i="5"/>
  <c r="M64" i="5"/>
  <c r="L64" i="5"/>
  <c r="K64" i="5"/>
  <c r="H64" i="5"/>
  <c r="M63" i="5"/>
  <c r="L63" i="5"/>
  <c r="K63" i="5"/>
  <c r="H63" i="5"/>
  <c r="M62" i="5"/>
  <c r="L62" i="5"/>
  <c r="K62" i="5"/>
  <c r="H62" i="5"/>
  <c r="M61" i="5"/>
  <c r="L61" i="5"/>
  <c r="K61" i="5"/>
  <c r="H61" i="5"/>
  <c r="M60" i="5"/>
  <c r="L60" i="5"/>
  <c r="K60" i="5"/>
  <c r="H60" i="5"/>
  <c r="M59" i="5"/>
  <c r="L59" i="5"/>
  <c r="K59" i="5"/>
  <c r="H59" i="5"/>
  <c r="M58" i="5"/>
  <c r="L58" i="5"/>
  <c r="K58" i="5"/>
  <c r="H58" i="5"/>
  <c r="M57" i="5"/>
  <c r="L57" i="5"/>
  <c r="K57" i="5"/>
  <c r="H57" i="5"/>
  <c r="M56" i="5"/>
  <c r="L56" i="5"/>
  <c r="K56" i="5"/>
  <c r="H56" i="5"/>
  <c r="M55" i="5"/>
  <c r="L55" i="5"/>
  <c r="K55" i="5"/>
  <c r="H55" i="5"/>
  <c r="M54" i="5"/>
  <c r="L54" i="5"/>
  <c r="K54" i="5"/>
  <c r="H54" i="5"/>
  <c r="M53" i="5"/>
  <c r="L53" i="5"/>
  <c r="K53" i="5"/>
  <c r="H53" i="5"/>
  <c r="M52" i="5"/>
  <c r="L52" i="5"/>
  <c r="K52" i="5"/>
  <c r="H52" i="5"/>
  <c r="M51" i="5"/>
  <c r="L51" i="5"/>
  <c r="K51" i="5"/>
  <c r="H51" i="5"/>
  <c r="M50" i="5"/>
  <c r="L50" i="5"/>
  <c r="K50" i="5"/>
  <c r="H50" i="5"/>
  <c r="M49" i="5"/>
  <c r="L49" i="5"/>
  <c r="K49" i="5"/>
  <c r="H49" i="5"/>
  <c r="M48" i="5"/>
  <c r="L48" i="5"/>
  <c r="K48" i="5"/>
  <c r="H48" i="5"/>
  <c r="M47" i="5"/>
  <c r="L47" i="5"/>
  <c r="K47" i="5"/>
  <c r="H47" i="5"/>
  <c r="M46" i="5"/>
  <c r="L46" i="5"/>
  <c r="K46" i="5"/>
  <c r="H46" i="5"/>
  <c r="M45" i="5"/>
  <c r="L45" i="5"/>
  <c r="K45" i="5"/>
  <c r="H45" i="5"/>
  <c r="M44" i="5"/>
  <c r="L44" i="5"/>
  <c r="K44" i="5"/>
  <c r="H44" i="5"/>
  <c r="M43" i="5"/>
  <c r="L43" i="5"/>
  <c r="K43" i="5"/>
  <c r="H43" i="5"/>
  <c r="M42" i="5"/>
  <c r="L42" i="5"/>
  <c r="K42" i="5"/>
  <c r="H42" i="5"/>
  <c r="M41" i="5"/>
  <c r="L41" i="5"/>
  <c r="K41" i="5"/>
  <c r="H41" i="5"/>
  <c r="M40" i="5"/>
  <c r="L40" i="5"/>
  <c r="K40" i="5"/>
  <c r="H40" i="5"/>
  <c r="M39" i="5"/>
  <c r="L39" i="5"/>
  <c r="K39" i="5"/>
  <c r="H39" i="5"/>
  <c r="M38" i="5"/>
  <c r="L38" i="5"/>
  <c r="K38" i="5"/>
  <c r="H38" i="5"/>
  <c r="M37" i="5"/>
  <c r="L37" i="5"/>
  <c r="K37" i="5"/>
  <c r="H37" i="5"/>
  <c r="M36" i="5"/>
  <c r="L36" i="5"/>
  <c r="K36" i="5"/>
  <c r="H36" i="5"/>
  <c r="M35" i="5"/>
  <c r="L35" i="5"/>
  <c r="K35" i="5"/>
  <c r="H35" i="5"/>
  <c r="M34" i="5"/>
  <c r="L34" i="5"/>
  <c r="K34" i="5"/>
  <c r="H34" i="5"/>
  <c r="M33" i="5"/>
  <c r="L33" i="5"/>
  <c r="K33" i="5"/>
  <c r="H33" i="5"/>
  <c r="M32" i="5"/>
  <c r="L32" i="5"/>
  <c r="K32" i="5"/>
  <c r="H32" i="5"/>
  <c r="M31" i="5"/>
  <c r="L31" i="5"/>
  <c r="K31" i="5"/>
  <c r="H31" i="5"/>
  <c r="M30" i="5"/>
  <c r="L30" i="5"/>
  <c r="K30" i="5"/>
  <c r="H30" i="5"/>
  <c r="M29" i="5"/>
  <c r="L29" i="5"/>
  <c r="K29" i="5"/>
  <c r="H29" i="5"/>
  <c r="M28" i="5"/>
  <c r="L28" i="5"/>
  <c r="K28" i="5"/>
  <c r="H28" i="5"/>
  <c r="M27" i="5"/>
  <c r="L27" i="5"/>
  <c r="K27" i="5"/>
  <c r="H27" i="5"/>
  <c r="M26" i="5"/>
  <c r="L26" i="5"/>
  <c r="K26" i="5"/>
  <c r="H26" i="5"/>
  <c r="M25" i="5"/>
  <c r="L25" i="5"/>
  <c r="K25" i="5"/>
  <c r="H25" i="5"/>
  <c r="M24" i="5"/>
  <c r="L24" i="5"/>
  <c r="K24" i="5"/>
  <c r="H24" i="5"/>
  <c r="M23" i="5"/>
  <c r="L23" i="5"/>
  <c r="K23" i="5"/>
  <c r="H23" i="5"/>
  <c r="M22" i="5"/>
  <c r="L22" i="5"/>
  <c r="K22" i="5"/>
  <c r="H22" i="5"/>
  <c r="M21" i="5"/>
  <c r="L21" i="5"/>
  <c r="K21" i="5"/>
  <c r="H21" i="5"/>
  <c r="M20" i="5"/>
  <c r="L20" i="5"/>
  <c r="K20" i="5"/>
  <c r="H20" i="5"/>
  <c r="M19" i="5"/>
  <c r="L19" i="5"/>
  <c r="K19" i="5"/>
  <c r="H19" i="5"/>
  <c r="M18" i="5"/>
  <c r="L18" i="5"/>
  <c r="K18" i="5"/>
  <c r="H18" i="5"/>
  <c r="M17" i="5"/>
  <c r="L17" i="5"/>
  <c r="K17" i="5"/>
  <c r="H17" i="5"/>
  <c r="M16" i="5"/>
  <c r="L16" i="5"/>
  <c r="K16" i="5"/>
  <c r="H16" i="5"/>
  <c r="M15" i="5"/>
  <c r="L15" i="5"/>
  <c r="K15" i="5"/>
  <c r="H15" i="5"/>
  <c r="M14" i="5"/>
  <c r="L14" i="5"/>
  <c r="K14" i="5"/>
  <c r="H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M75" i="4"/>
  <c r="L75" i="4"/>
  <c r="K75" i="4"/>
  <c r="H75" i="4"/>
  <c r="M74" i="4"/>
  <c r="L74" i="4"/>
  <c r="K74" i="4"/>
  <c r="H74" i="4"/>
  <c r="M73" i="4"/>
  <c r="L73" i="4"/>
  <c r="K73" i="4"/>
  <c r="H73" i="4"/>
  <c r="M72" i="4"/>
  <c r="L72" i="4"/>
  <c r="K72" i="4"/>
  <c r="H72" i="4"/>
  <c r="M71" i="4"/>
  <c r="L71" i="4"/>
  <c r="K71" i="4"/>
  <c r="H71" i="4"/>
  <c r="M70" i="4"/>
  <c r="L70" i="4"/>
  <c r="K70" i="4"/>
  <c r="H70" i="4"/>
  <c r="M69" i="4"/>
  <c r="L69" i="4"/>
  <c r="K69" i="4"/>
  <c r="H69" i="4"/>
  <c r="M68" i="4"/>
  <c r="L68" i="4"/>
  <c r="K68" i="4"/>
  <c r="H68" i="4"/>
  <c r="M67" i="4"/>
  <c r="L67" i="4"/>
  <c r="K67" i="4"/>
  <c r="H67" i="4"/>
  <c r="M66" i="4"/>
  <c r="L66" i="4"/>
  <c r="K66" i="4"/>
  <c r="H66" i="4"/>
  <c r="M65" i="4"/>
  <c r="L65" i="4"/>
  <c r="K65" i="4"/>
  <c r="H65" i="4"/>
  <c r="M64" i="4"/>
  <c r="L64" i="4"/>
  <c r="K64" i="4"/>
  <c r="H64" i="4"/>
  <c r="M63" i="4"/>
  <c r="L63" i="4"/>
  <c r="K63" i="4"/>
  <c r="H63" i="4"/>
  <c r="M62" i="4"/>
  <c r="L62" i="4"/>
  <c r="K62" i="4"/>
  <c r="H62" i="4"/>
  <c r="M61" i="4"/>
  <c r="L61" i="4"/>
  <c r="K61" i="4"/>
  <c r="H61" i="4"/>
  <c r="M60" i="4"/>
  <c r="L60" i="4"/>
  <c r="K60" i="4"/>
  <c r="H60" i="4"/>
  <c r="M59" i="4"/>
  <c r="L59" i="4"/>
  <c r="K59" i="4"/>
  <c r="H59" i="4"/>
  <c r="M58" i="4"/>
  <c r="L58" i="4"/>
  <c r="K58" i="4"/>
  <c r="H58" i="4"/>
  <c r="M57" i="4"/>
  <c r="L57" i="4"/>
  <c r="K57" i="4"/>
  <c r="H57" i="4"/>
  <c r="M56" i="4"/>
  <c r="L56" i="4"/>
  <c r="K56" i="4"/>
  <c r="H56" i="4"/>
  <c r="M55" i="4"/>
  <c r="L55" i="4"/>
  <c r="K55" i="4"/>
  <c r="H55" i="4"/>
  <c r="M54" i="4"/>
  <c r="L54" i="4"/>
  <c r="K54" i="4"/>
  <c r="H54" i="4"/>
  <c r="M53" i="4"/>
  <c r="L53" i="4"/>
  <c r="K53" i="4"/>
  <c r="H53" i="4"/>
  <c r="M52" i="4"/>
  <c r="L52" i="4"/>
  <c r="K52" i="4"/>
  <c r="H52" i="4"/>
  <c r="M51" i="4"/>
  <c r="L51" i="4"/>
  <c r="K51" i="4"/>
  <c r="H51" i="4"/>
  <c r="M50" i="4"/>
  <c r="L50" i="4"/>
  <c r="K50" i="4"/>
  <c r="H50" i="4"/>
  <c r="M49" i="4"/>
  <c r="L49" i="4"/>
  <c r="K49" i="4"/>
  <c r="H49" i="4"/>
  <c r="M48" i="4"/>
  <c r="L48" i="4"/>
  <c r="K48" i="4"/>
  <c r="H48" i="4"/>
  <c r="M47" i="4"/>
  <c r="L47" i="4"/>
  <c r="K47" i="4"/>
  <c r="H47" i="4"/>
  <c r="M46" i="4"/>
  <c r="L46" i="4"/>
  <c r="K46" i="4"/>
  <c r="H46" i="4"/>
  <c r="M45" i="4"/>
  <c r="L45" i="4"/>
  <c r="K45" i="4"/>
  <c r="H45" i="4"/>
  <c r="M44" i="4"/>
  <c r="L44" i="4"/>
  <c r="K44" i="4"/>
  <c r="H44" i="4"/>
  <c r="M43" i="4"/>
  <c r="L43" i="4"/>
  <c r="K43" i="4"/>
  <c r="H43" i="4"/>
  <c r="M42" i="4"/>
  <c r="L42" i="4"/>
  <c r="K42" i="4"/>
  <c r="H42" i="4"/>
  <c r="M41" i="4"/>
  <c r="L41" i="4"/>
  <c r="K41" i="4"/>
  <c r="H41" i="4"/>
  <c r="M40" i="4"/>
  <c r="L40" i="4"/>
  <c r="K40" i="4"/>
  <c r="H40" i="4"/>
  <c r="M39" i="4"/>
  <c r="L39" i="4"/>
  <c r="K39" i="4"/>
  <c r="H39" i="4"/>
  <c r="M38" i="4"/>
  <c r="L38" i="4"/>
  <c r="K38" i="4"/>
  <c r="H38" i="4"/>
  <c r="M37" i="4"/>
  <c r="L37" i="4"/>
  <c r="K37" i="4"/>
  <c r="H37" i="4"/>
  <c r="M36" i="4"/>
  <c r="L36" i="4"/>
  <c r="K36" i="4"/>
  <c r="H36" i="4"/>
  <c r="M35" i="4"/>
  <c r="L35" i="4"/>
  <c r="K35" i="4"/>
  <c r="H35" i="4"/>
  <c r="M34" i="4"/>
  <c r="L34" i="4"/>
  <c r="K34" i="4"/>
  <c r="H34" i="4"/>
  <c r="M33" i="4"/>
  <c r="L33" i="4"/>
  <c r="K33" i="4"/>
  <c r="H33" i="4"/>
  <c r="M32" i="4"/>
  <c r="L32" i="4"/>
  <c r="K32" i="4"/>
  <c r="H32" i="4"/>
  <c r="M31" i="4"/>
  <c r="L31" i="4"/>
  <c r="K31" i="4"/>
  <c r="H31" i="4"/>
  <c r="M30" i="4"/>
  <c r="L30" i="4"/>
  <c r="K30" i="4"/>
  <c r="H30" i="4"/>
  <c r="M29" i="4"/>
  <c r="L29" i="4"/>
  <c r="K29" i="4"/>
  <c r="H29" i="4"/>
  <c r="M28" i="4"/>
  <c r="L28" i="4"/>
  <c r="K28" i="4"/>
  <c r="H28" i="4"/>
  <c r="M27" i="4"/>
  <c r="L27" i="4"/>
  <c r="K27" i="4"/>
  <c r="H27" i="4"/>
  <c r="M26" i="4"/>
  <c r="L26" i="4"/>
  <c r="K26" i="4"/>
  <c r="H26" i="4"/>
  <c r="M25" i="4"/>
  <c r="L25" i="4"/>
  <c r="K25" i="4"/>
  <c r="H25" i="4"/>
  <c r="M24" i="4"/>
  <c r="L24" i="4"/>
  <c r="K24" i="4"/>
  <c r="H24" i="4"/>
  <c r="M23" i="4"/>
  <c r="L23" i="4"/>
  <c r="K23" i="4"/>
  <c r="H23" i="4"/>
  <c r="M22" i="4"/>
  <c r="L22" i="4"/>
  <c r="K22" i="4"/>
  <c r="H22" i="4"/>
  <c r="M21" i="4"/>
  <c r="L21" i="4"/>
  <c r="K21" i="4"/>
  <c r="H21" i="4"/>
  <c r="M20" i="4"/>
  <c r="L20" i="4"/>
  <c r="K20" i="4"/>
  <c r="H20" i="4"/>
  <c r="M19" i="4"/>
  <c r="L19" i="4"/>
  <c r="K19" i="4"/>
  <c r="H19" i="4"/>
  <c r="M18" i="4"/>
  <c r="L18" i="4"/>
  <c r="K18" i="4"/>
  <c r="H18" i="4"/>
  <c r="M17" i="4"/>
  <c r="L17" i="4"/>
  <c r="K17" i="4"/>
  <c r="H17" i="4"/>
  <c r="M16" i="4"/>
  <c r="L16" i="4"/>
  <c r="K16" i="4"/>
  <c r="H16" i="4"/>
  <c r="M15" i="4"/>
  <c r="L15" i="4"/>
  <c r="K15" i="4"/>
  <c r="H15" i="4"/>
  <c r="M14" i="4"/>
  <c r="L14" i="4"/>
  <c r="K14" i="4"/>
  <c r="H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75" i="3"/>
  <c r="L75" i="3"/>
  <c r="K75" i="3"/>
  <c r="H75" i="3"/>
  <c r="M74" i="3"/>
  <c r="L74" i="3"/>
  <c r="K74" i="3"/>
  <c r="H74" i="3"/>
  <c r="M73" i="3"/>
  <c r="L73" i="3"/>
  <c r="K73" i="3"/>
  <c r="H73" i="3"/>
  <c r="M72" i="3"/>
  <c r="L72" i="3"/>
  <c r="K72" i="3"/>
  <c r="H72" i="3"/>
  <c r="M71" i="3"/>
  <c r="L71" i="3"/>
  <c r="K71" i="3"/>
  <c r="H71" i="3"/>
  <c r="M70" i="3"/>
  <c r="L70" i="3"/>
  <c r="K70" i="3"/>
  <c r="H70" i="3"/>
  <c r="M69" i="3"/>
  <c r="L69" i="3"/>
  <c r="K69" i="3"/>
  <c r="H69" i="3"/>
  <c r="M68" i="3"/>
  <c r="L68" i="3"/>
  <c r="K68" i="3"/>
  <c r="H68" i="3"/>
  <c r="M67" i="3"/>
  <c r="L67" i="3"/>
  <c r="K67" i="3"/>
  <c r="H67" i="3"/>
  <c r="M66" i="3"/>
  <c r="L66" i="3"/>
  <c r="K66" i="3"/>
  <c r="H66" i="3"/>
  <c r="M65" i="3"/>
  <c r="L65" i="3"/>
  <c r="K65" i="3"/>
  <c r="H65" i="3"/>
  <c r="M64" i="3"/>
  <c r="L64" i="3"/>
  <c r="K64" i="3"/>
  <c r="H64" i="3"/>
  <c r="M63" i="3"/>
  <c r="L63" i="3"/>
  <c r="K63" i="3"/>
  <c r="H63" i="3"/>
  <c r="M62" i="3"/>
  <c r="L62" i="3"/>
  <c r="K62" i="3"/>
  <c r="H62" i="3"/>
  <c r="M61" i="3"/>
  <c r="L61" i="3"/>
  <c r="K61" i="3"/>
  <c r="H61" i="3"/>
  <c r="M60" i="3"/>
  <c r="L60" i="3"/>
  <c r="K60" i="3"/>
  <c r="H60" i="3"/>
  <c r="M59" i="3"/>
  <c r="L59" i="3"/>
  <c r="K59" i="3"/>
  <c r="H59" i="3"/>
  <c r="M58" i="3"/>
  <c r="L58" i="3"/>
  <c r="K58" i="3"/>
  <c r="H58" i="3"/>
  <c r="M57" i="3"/>
  <c r="L57" i="3"/>
  <c r="K57" i="3"/>
  <c r="H57" i="3"/>
  <c r="M56" i="3"/>
  <c r="L56" i="3"/>
  <c r="K56" i="3"/>
  <c r="H56" i="3"/>
  <c r="M55" i="3"/>
  <c r="L55" i="3"/>
  <c r="K55" i="3"/>
  <c r="H55" i="3"/>
  <c r="M54" i="3"/>
  <c r="L54" i="3"/>
  <c r="K54" i="3"/>
  <c r="H54" i="3"/>
  <c r="M53" i="3"/>
  <c r="L53" i="3"/>
  <c r="K53" i="3"/>
  <c r="H53" i="3"/>
  <c r="M52" i="3"/>
  <c r="L52" i="3"/>
  <c r="K52" i="3"/>
  <c r="H52" i="3"/>
  <c r="M51" i="3"/>
  <c r="L51" i="3"/>
  <c r="K51" i="3"/>
  <c r="H51" i="3"/>
  <c r="M50" i="3"/>
  <c r="L50" i="3"/>
  <c r="K50" i="3"/>
  <c r="H50" i="3"/>
  <c r="M49" i="3"/>
  <c r="L49" i="3"/>
  <c r="K49" i="3"/>
  <c r="H49" i="3"/>
  <c r="M48" i="3"/>
  <c r="L48" i="3"/>
  <c r="K48" i="3"/>
  <c r="H48" i="3"/>
  <c r="M47" i="3"/>
  <c r="L47" i="3"/>
  <c r="K47" i="3"/>
  <c r="H47" i="3"/>
  <c r="M46" i="3"/>
  <c r="L46" i="3"/>
  <c r="K46" i="3"/>
  <c r="H46" i="3"/>
  <c r="M45" i="3"/>
  <c r="L45" i="3"/>
  <c r="K45" i="3"/>
  <c r="H45" i="3"/>
  <c r="M44" i="3"/>
  <c r="L44" i="3"/>
  <c r="K44" i="3"/>
  <c r="H44" i="3"/>
  <c r="M43" i="3"/>
  <c r="L43" i="3"/>
  <c r="K43" i="3"/>
  <c r="H43" i="3"/>
  <c r="M42" i="3"/>
  <c r="L42" i="3"/>
  <c r="K42" i="3"/>
  <c r="H42" i="3"/>
  <c r="M41" i="3"/>
  <c r="L41" i="3"/>
  <c r="K41" i="3"/>
  <c r="H41" i="3"/>
  <c r="M40" i="3"/>
  <c r="L40" i="3"/>
  <c r="K40" i="3"/>
  <c r="H40" i="3"/>
  <c r="M39" i="3"/>
  <c r="L39" i="3"/>
  <c r="K39" i="3"/>
  <c r="H39" i="3"/>
  <c r="M38" i="3"/>
  <c r="L38" i="3"/>
  <c r="K38" i="3"/>
  <c r="H38" i="3"/>
  <c r="M37" i="3"/>
  <c r="L37" i="3"/>
  <c r="K37" i="3"/>
  <c r="H37" i="3"/>
  <c r="M36" i="3"/>
  <c r="L36" i="3"/>
  <c r="K36" i="3"/>
  <c r="H36" i="3"/>
  <c r="M35" i="3"/>
  <c r="L35" i="3"/>
  <c r="K35" i="3"/>
  <c r="H35" i="3"/>
  <c r="M34" i="3"/>
  <c r="L34" i="3"/>
  <c r="K34" i="3"/>
  <c r="H34" i="3"/>
  <c r="M33" i="3"/>
  <c r="L33" i="3"/>
  <c r="K33" i="3"/>
  <c r="H33" i="3"/>
  <c r="M32" i="3"/>
  <c r="L32" i="3"/>
  <c r="K32" i="3"/>
  <c r="H32" i="3"/>
  <c r="M31" i="3"/>
  <c r="L31" i="3"/>
  <c r="K31" i="3"/>
  <c r="H31" i="3"/>
  <c r="M30" i="3"/>
  <c r="L30" i="3"/>
  <c r="K30" i="3"/>
  <c r="H30" i="3"/>
  <c r="M29" i="3"/>
  <c r="L29" i="3"/>
  <c r="K29" i="3"/>
  <c r="H29" i="3"/>
  <c r="M28" i="3"/>
  <c r="L28" i="3"/>
  <c r="K28" i="3"/>
  <c r="H28" i="3"/>
  <c r="M27" i="3"/>
  <c r="L27" i="3"/>
  <c r="K27" i="3"/>
  <c r="H27" i="3"/>
  <c r="M26" i="3"/>
  <c r="L26" i="3"/>
  <c r="K26" i="3"/>
  <c r="H26" i="3"/>
  <c r="M25" i="3"/>
  <c r="L25" i="3"/>
  <c r="K25" i="3"/>
  <c r="H25" i="3"/>
  <c r="M24" i="3"/>
  <c r="L24" i="3"/>
  <c r="K24" i="3"/>
  <c r="H24" i="3"/>
  <c r="M23" i="3"/>
  <c r="L23" i="3"/>
  <c r="K23" i="3"/>
  <c r="H23" i="3"/>
  <c r="M22" i="3"/>
  <c r="L22" i="3"/>
  <c r="K22" i="3"/>
  <c r="H22" i="3"/>
  <c r="M21" i="3"/>
  <c r="L21" i="3"/>
  <c r="K21" i="3"/>
  <c r="H21" i="3"/>
  <c r="M20" i="3"/>
  <c r="L20" i="3"/>
  <c r="K20" i="3"/>
  <c r="H20" i="3"/>
  <c r="M19" i="3"/>
  <c r="L19" i="3"/>
  <c r="K19" i="3"/>
  <c r="H19" i="3"/>
  <c r="M18" i="3"/>
  <c r="L18" i="3"/>
  <c r="K18" i="3"/>
  <c r="H18" i="3"/>
  <c r="M17" i="3"/>
  <c r="L17" i="3"/>
  <c r="K17" i="3"/>
  <c r="H17" i="3"/>
  <c r="M16" i="3"/>
  <c r="L16" i="3"/>
  <c r="K16" i="3"/>
  <c r="H16" i="3"/>
  <c r="M15" i="3"/>
  <c r="L15" i="3"/>
  <c r="K15" i="3"/>
  <c r="H15" i="3"/>
  <c r="M14" i="3"/>
  <c r="L14" i="3"/>
  <c r="K14" i="3"/>
  <c r="H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M75" i="2"/>
  <c r="L75" i="2"/>
  <c r="K75" i="2"/>
  <c r="H75" i="2"/>
  <c r="M74" i="2"/>
  <c r="L74" i="2"/>
  <c r="K74" i="2"/>
  <c r="H74" i="2"/>
  <c r="M73" i="2"/>
  <c r="L73" i="2"/>
  <c r="K73" i="2"/>
  <c r="H73" i="2"/>
  <c r="M72" i="2"/>
  <c r="L72" i="2"/>
  <c r="K72" i="2"/>
  <c r="H72" i="2"/>
  <c r="M71" i="2"/>
  <c r="L71" i="2"/>
  <c r="K71" i="2"/>
  <c r="H71" i="2"/>
  <c r="M70" i="2"/>
  <c r="L70" i="2"/>
  <c r="K70" i="2"/>
  <c r="H70" i="2"/>
  <c r="M69" i="2"/>
  <c r="L69" i="2"/>
  <c r="K69" i="2"/>
  <c r="H69" i="2"/>
  <c r="M68" i="2"/>
  <c r="L68" i="2"/>
  <c r="K68" i="2"/>
  <c r="H68" i="2"/>
  <c r="M67" i="2"/>
  <c r="L67" i="2"/>
  <c r="K67" i="2"/>
  <c r="H67" i="2"/>
  <c r="M66" i="2"/>
  <c r="L66" i="2"/>
  <c r="K66" i="2"/>
  <c r="H66" i="2"/>
  <c r="M65" i="2"/>
  <c r="L65" i="2"/>
  <c r="K65" i="2"/>
  <c r="H65" i="2"/>
  <c r="M64" i="2"/>
  <c r="L64" i="2"/>
  <c r="K64" i="2"/>
  <c r="H64" i="2"/>
  <c r="M63" i="2"/>
  <c r="L63" i="2"/>
  <c r="K63" i="2"/>
  <c r="H63" i="2"/>
  <c r="M62" i="2"/>
  <c r="L62" i="2"/>
  <c r="K62" i="2"/>
  <c r="H62" i="2"/>
  <c r="M61" i="2"/>
  <c r="L61" i="2"/>
  <c r="K61" i="2"/>
  <c r="H61" i="2"/>
  <c r="M60" i="2"/>
  <c r="L60" i="2"/>
  <c r="K60" i="2"/>
  <c r="H60" i="2"/>
  <c r="M59" i="2"/>
  <c r="L59" i="2"/>
  <c r="K59" i="2"/>
  <c r="H59" i="2"/>
  <c r="M58" i="2"/>
  <c r="L58" i="2"/>
  <c r="K58" i="2"/>
  <c r="H58" i="2"/>
  <c r="M57" i="2"/>
  <c r="L57" i="2"/>
  <c r="K57" i="2"/>
  <c r="H57" i="2"/>
  <c r="M56" i="2"/>
  <c r="L56" i="2"/>
  <c r="K56" i="2"/>
  <c r="H56" i="2"/>
  <c r="M55" i="2"/>
  <c r="L55" i="2"/>
  <c r="K55" i="2"/>
  <c r="H55" i="2"/>
  <c r="M54" i="2"/>
  <c r="L54" i="2"/>
  <c r="K54" i="2"/>
  <c r="H54" i="2"/>
  <c r="M53" i="2"/>
  <c r="L53" i="2"/>
  <c r="K53" i="2"/>
  <c r="H53" i="2"/>
  <c r="M52" i="2"/>
  <c r="L52" i="2"/>
  <c r="K52" i="2"/>
  <c r="H52" i="2"/>
  <c r="M51" i="2"/>
  <c r="L51" i="2"/>
  <c r="K51" i="2"/>
  <c r="H51" i="2"/>
  <c r="M50" i="2"/>
  <c r="L50" i="2"/>
  <c r="K50" i="2"/>
  <c r="H50" i="2"/>
  <c r="M49" i="2"/>
  <c r="L49" i="2"/>
  <c r="K49" i="2"/>
  <c r="H49" i="2"/>
  <c r="M48" i="2"/>
  <c r="L48" i="2"/>
  <c r="K48" i="2"/>
  <c r="H48" i="2"/>
  <c r="M47" i="2"/>
  <c r="L47" i="2"/>
  <c r="K47" i="2"/>
  <c r="H47" i="2"/>
  <c r="M46" i="2"/>
  <c r="L46" i="2"/>
  <c r="K46" i="2"/>
  <c r="H46" i="2"/>
  <c r="M45" i="2"/>
  <c r="L45" i="2"/>
  <c r="K45" i="2"/>
  <c r="H45" i="2"/>
  <c r="M44" i="2"/>
  <c r="L44" i="2"/>
  <c r="K44" i="2"/>
  <c r="H44" i="2"/>
  <c r="M43" i="2"/>
  <c r="L43" i="2"/>
  <c r="K43" i="2"/>
  <c r="H43" i="2"/>
  <c r="M42" i="2"/>
  <c r="L42" i="2"/>
  <c r="K42" i="2"/>
  <c r="H42" i="2"/>
  <c r="M41" i="2"/>
  <c r="L41" i="2"/>
  <c r="K41" i="2"/>
  <c r="H41" i="2"/>
  <c r="M40" i="2"/>
  <c r="L40" i="2"/>
  <c r="K40" i="2"/>
  <c r="H40" i="2"/>
  <c r="M39" i="2"/>
  <c r="L39" i="2"/>
  <c r="K39" i="2"/>
  <c r="H39" i="2"/>
  <c r="M38" i="2"/>
  <c r="L38" i="2"/>
  <c r="K38" i="2"/>
  <c r="H38" i="2"/>
  <c r="M37" i="2"/>
  <c r="L37" i="2"/>
  <c r="K37" i="2"/>
  <c r="H37" i="2"/>
  <c r="M36" i="2"/>
  <c r="L36" i="2"/>
  <c r="K36" i="2"/>
  <c r="H36" i="2"/>
  <c r="M35" i="2"/>
  <c r="L35" i="2"/>
  <c r="K35" i="2"/>
  <c r="H35" i="2"/>
  <c r="M34" i="2"/>
  <c r="L34" i="2"/>
  <c r="K34" i="2"/>
  <c r="H34" i="2"/>
  <c r="M33" i="2"/>
  <c r="L33" i="2"/>
  <c r="K33" i="2"/>
  <c r="H33" i="2"/>
  <c r="M32" i="2"/>
  <c r="L32" i="2"/>
  <c r="K32" i="2"/>
  <c r="H32" i="2"/>
  <c r="M31" i="2"/>
  <c r="L31" i="2"/>
  <c r="K31" i="2"/>
  <c r="H31" i="2"/>
  <c r="M30" i="2"/>
  <c r="L30" i="2"/>
  <c r="K30" i="2"/>
  <c r="H30" i="2"/>
  <c r="M29" i="2"/>
  <c r="L29" i="2"/>
  <c r="K29" i="2"/>
  <c r="H29" i="2"/>
  <c r="M28" i="2"/>
  <c r="L28" i="2"/>
  <c r="K28" i="2"/>
  <c r="H28" i="2"/>
  <c r="M27" i="2"/>
  <c r="L27" i="2"/>
  <c r="K27" i="2"/>
  <c r="H27" i="2"/>
  <c r="M26" i="2"/>
  <c r="L26" i="2"/>
  <c r="K26" i="2"/>
  <c r="H26" i="2"/>
  <c r="M25" i="2"/>
  <c r="L25" i="2"/>
  <c r="K25" i="2"/>
  <c r="H25" i="2"/>
  <c r="M24" i="2"/>
  <c r="L24" i="2"/>
  <c r="K24" i="2"/>
  <c r="H24" i="2"/>
  <c r="M23" i="2"/>
  <c r="L23" i="2"/>
  <c r="K23" i="2"/>
  <c r="H23" i="2"/>
  <c r="M22" i="2"/>
  <c r="L22" i="2"/>
  <c r="K22" i="2"/>
  <c r="H22" i="2"/>
  <c r="M21" i="2"/>
  <c r="L21" i="2"/>
  <c r="K21" i="2"/>
  <c r="H21" i="2"/>
  <c r="M20" i="2"/>
  <c r="L20" i="2"/>
  <c r="K20" i="2"/>
  <c r="H20" i="2"/>
  <c r="M19" i="2"/>
  <c r="L19" i="2"/>
  <c r="K19" i="2"/>
  <c r="H19" i="2"/>
  <c r="M18" i="2"/>
  <c r="L18" i="2"/>
  <c r="K18" i="2"/>
  <c r="H18" i="2"/>
  <c r="M17" i="2"/>
  <c r="L17" i="2"/>
  <c r="K17" i="2"/>
  <c r="H17" i="2"/>
  <c r="M16" i="2"/>
  <c r="L16" i="2"/>
  <c r="K16" i="2"/>
  <c r="H16" i="2"/>
  <c r="M15" i="2"/>
  <c r="L15" i="2"/>
  <c r="K15" i="2"/>
  <c r="H15" i="2"/>
  <c r="M14" i="2"/>
  <c r="L14" i="2"/>
  <c r="K14" i="2"/>
  <c r="H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<sst xmlns="http://schemas.openxmlformats.org/spreadsheetml/2006/main" count="8723" uniqueCount="211">
  <si>
    <t>Tỉ lệ % hoạt động có tải</t>
  </si>
  <si>
    <t>Hạng mục</t>
  </si>
  <si>
    <t>LA</t>
  </si>
  <si>
    <t>MA</t>
  </si>
  <si>
    <t>BJ</t>
  </si>
  <si>
    <t>GC</t>
  </si>
  <si>
    <t>GS</t>
  </si>
  <si>
    <t>GR</t>
  </si>
  <si>
    <t>EN</t>
  </si>
  <si>
    <t>GJ</t>
  </si>
  <si>
    <t>EW</t>
  </si>
  <si>
    <t>GP</t>
  </si>
  <si>
    <t>MC</t>
  </si>
  <si>
    <t>LN</t>
  </si>
  <si>
    <t>% Mục tiêu</t>
  </si>
  <si>
    <t>% Có tải</t>
  </si>
  <si>
    <t>% Không tải</t>
  </si>
  <si>
    <t>% Tắt máy</t>
  </si>
  <si>
    <t>Tổng thời gian h/đ có tải</t>
  </si>
  <si>
    <t>Tổng thời gian h/đ không tải</t>
  </si>
  <si>
    <t>Tổng thời gian tắt máy</t>
  </si>
  <si>
    <t>ID</t>
  </si>
  <si>
    <t>Ngày tháng</t>
  </si>
  <si>
    <t>Ca làm việc</t>
  </si>
  <si>
    <t>Thời gian hoạt động không tải (phút)</t>
  </si>
  <si>
    <t>Thời gian hoạt động có tải (phút)</t>
  </si>
  <si>
    <t>Thời gian tắt máy (phút)</t>
  </si>
  <si>
    <t>Ngày - Ca</t>
  </si>
  <si>
    <t>Mục Tiêu C1</t>
  </si>
  <si>
    <t>Mục Tiêu C2</t>
  </si>
  <si>
    <t>% Có Tải</t>
  </si>
  <si>
    <t>% Không Tải</t>
  </si>
  <si>
    <t>% Tắt Máy</t>
  </si>
  <si>
    <t>01/06/2026</t>
  </si>
  <si>
    <t>CN</t>
  </si>
  <si>
    <t>T1</t>
  </si>
  <si>
    <t>01/01/2026</t>
  </si>
  <si>
    <t>CD</t>
  </si>
  <si>
    <t>T2</t>
  </si>
  <si>
    <t>02/06/2026</t>
  </si>
  <si>
    <t>T3</t>
  </si>
  <si>
    <t>02/01/2026</t>
  </si>
  <si>
    <t>T4</t>
  </si>
  <si>
    <t>03/06/2026</t>
  </si>
  <si>
    <t>T5</t>
  </si>
  <si>
    <t>03/01/2026</t>
  </si>
  <si>
    <t>T6</t>
  </si>
  <si>
    <t>04/01/2026</t>
  </si>
  <si>
    <t>04/06/2026</t>
  </si>
  <si>
    <t>T7</t>
  </si>
  <si>
    <t>T8</t>
  </si>
  <si>
    <t>05/01/2026</t>
  </si>
  <si>
    <t>05/06/2026</t>
  </si>
  <si>
    <t>T9</t>
  </si>
  <si>
    <t>T10</t>
  </si>
  <si>
    <t>06/01/2026</t>
  </si>
  <si>
    <t>06/06/2026</t>
  </si>
  <si>
    <t>T11</t>
  </si>
  <si>
    <t>T12</t>
  </si>
  <si>
    <t>07/01/2026</t>
  </si>
  <si>
    <t>07/06/2026</t>
  </si>
  <si>
    <t>08/01/2026</t>
  </si>
  <si>
    <t>08/06/2026</t>
  </si>
  <si>
    <t>09/01/2026</t>
  </si>
  <si>
    <t>09/06/2026</t>
  </si>
  <si>
    <t>10/01/2026</t>
  </si>
  <si>
    <t>10/06/2026</t>
  </si>
  <si>
    <t>11/01/2026</t>
  </si>
  <si>
    <t>11/06/2026</t>
  </si>
  <si>
    <t>12/01/2026</t>
  </si>
  <si>
    <t>12/06/2026</t>
  </si>
  <si>
    <t>13/01/2026</t>
  </si>
  <si>
    <t>13/06/2026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</si>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</sst>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13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 ĐỒ TỈ LỆ HOẠT ĐỘNG MÁY TẠI CÁC CÔNG ĐOẠN TRONG THÁNG  NĂM 2026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Tong_Hop!$A$4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Tong_Hop!$B$4:$M$4</c:f>
              <c:numCache>
                <c:formatCode>0.00%</c:formatCode>
                <c:ptCount val="12"/>
                <c:pt idx="0">
                  <c:v>0.22466026220198035</c:v>
                </c:pt>
                <c:pt idx="1">
                  <c:v>0.3409736270670552</c:v>
                </c:pt>
                <c:pt idx="2">
                  <c:v>0.24433168261864049</c:v>
                </c:pt>
                <c:pt idx="3">
                  <c:v>0.2034812590368146</c:v>
                </c:pt>
                <c:pt idx="4">
                  <c:v>0.30300160743558319</c:v>
                </c:pt>
                <c:pt idx="5">
                  <c:v>0.49192470483403877</c:v>
                </c:pt>
                <c:pt idx="6">
                  <c:v>0.5541903135158962</c:v>
                </c:pt>
                <c:pt idx="7">
                  <c:v>0.45992774718529689</c:v>
                </c:pt>
                <c:pt idx="8">
                  <c:v>0.59690363787836709</c:v>
                </c:pt>
                <c:pt idx="9">
                  <c:v>0.68356332072112169</c:v>
                </c:pt>
                <c:pt idx="10">
                  <c:v>0.49966534042315847</c:v>
                </c:pt>
                <c:pt idx="11">
                  <c:v>0.6062632341468851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9-4F35-84A1-FE97EF3C8210}"/>
            </c:ext>
          </c:extLst>
        </c:ser>
        <c:ser>
          <c:idx val="2"/>
          <c:order val="1"/>
          <c:tx>
            <c:strRef>
              <c:f>Tong_Hop!$A$5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Tong_Hop!$B$5:$M$5</c:f>
              <c:numCache>
                <c:formatCode>0.00%</c:formatCode>
                <c:ptCount val="12"/>
                <c:pt idx="0">
                  <c:v>0.2292700016595062</c:v>
                </c:pt>
                <c:pt idx="1">
                  <c:v>0.28150925186986137</c:v>
                </c:pt>
                <c:pt idx="2">
                  <c:v>0.37293198019142371</c:v>
                </c:pt>
                <c:pt idx="3">
                  <c:v>0.13029696363029697</c:v>
                </c:pt>
                <c:pt idx="4">
                  <c:v>0.35155889421164038</c:v>
                </c:pt>
                <c:pt idx="5">
                  <c:v>0.18901759857429271</c:v>
                </c:pt>
                <c:pt idx="6">
                  <c:v>0.43458317262659102</c:v>
                </c:pt>
                <c:pt idx="7">
                  <c:v>0.41825961909438464</c:v>
                </c:pt>
                <c:pt idx="8">
                  <c:v>0.37921410719244653</c:v>
                </c:pt>
                <c:pt idx="9">
                  <c:v>5.1997551747162252E-2</c:v>
                </c:pt>
                <c:pt idx="10">
                  <c:v>0.31088015468709329</c:v>
                </c:pt>
                <c:pt idx="11">
                  <c:v>0.17090159366989857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9-4F35-84A1-FE97EF3C8210}"/>
            </c:ext>
          </c:extLst>
        </c:ser>
        <c:ser>
          <c:idx val="3"/>
          <c:order val="2"/>
          <c:tx>
            <c:strRef>
              <c:f>Tong_Hop!$A$6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Tong_Hop!$B$6:$M$6</c:f>
              <c:numCache>
                <c:formatCode>0.00%</c:formatCode>
                <c:ptCount val="12"/>
                <c:pt idx="0">
                  <c:v>0.54606973613851351</c:v>
                </c:pt>
                <c:pt idx="1">
                  <c:v>0.37751712106308344</c:v>
                </c:pt>
                <c:pt idx="2">
                  <c:v>0.38273633718993583</c:v>
                </c:pt>
                <c:pt idx="3">
                  <c:v>0.66622177733288845</c:v>
                </c:pt>
                <c:pt idx="4">
                  <c:v>0.34543949835277643</c:v>
                </c:pt>
                <c:pt idx="5">
                  <c:v>0.31905769659166855</c:v>
                </c:pt>
                <c:pt idx="6">
                  <c:v>1.1226513857512811E-2</c:v>
                </c:pt>
                <c:pt idx="7">
                  <c:v>0.12181263372031848</c:v>
                </c:pt>
                <c:pt idx="8">
                  <c:v>2.3882254929186338E-2</c:v>
                </c:pt>
                <c:pt idx="9">
                  <c:v>0.264439127531716</c:v>
                </c:pt>
                <c:pt idx="10">
                  <c:v>0.18945450488974827</c:v>
                </c:pt>
                <c:pt idx="11">
                  <c:v>0.22283517218321633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9-4F35-84A1-FE97EF3C8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8304"/>
        <c:axId val="1005847864"/>
      </c:barChart>
      <c:lineChart>
        <c:grouping val="stacked"/>
        <c:varyColors val="0"/>
        <c:ser>
          <c:idx val="4"/>
          <c:order val="3"/>
          <c:tx>
            <c:strRef>
              <c:f>Tong_Hop!$A$3</c:f>
              <c:strCache>
                <c:ptCount val="1"/>
                <c:pt idx="0">
                  <c:v>% Mục tiêu</c:v>
                </c:pt>
              </c:strCache>
            </c:strRef>
          </c:tx>
          <c:spPr>
            <a:ln w="28575" cap="flat">
              <a:solidFill>
                <a:srgbClr val="FF0000"/>
              </a:solidFill>
              <a:prstDash val="solid"/>
              <a:bevel/>
              <a:headEnd w="med" len="med"/>
              <a:tailEnd/>
            </a:ln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39-4F35-84A1-FE97EF3C8210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39-4F35-84A1-FE97EF3C8210}"/>
                </c:ext>
              </c:extLst>
            </c:dLbl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39-4F35-84A1-FE97EF3C8210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39-4F35-84A1-FE97EF3C8210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39-4F35-84A1-FE97EF3C8210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39-4F35-84A1-FE97EF3C8210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39-4F35-84A1-FE97EF3C8210}"/>
                </c:ext>
              </c:extLst>
            </c:dLbl>
            <c:dLbl>
              <c:idx val="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39-4F35-84A1-FE97EF3C8210}"/>
                </c:ext>
              </c:extLst>
            </c:dLbl>
            <c:dLbl>
              <c:idx val="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39-4F35-84A1-FE97EF3C8210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39-4F35-84A1-FE97EF3C8210}"/>
                </c:ext>
              </c:extLst>
            </c:dLbl>
            <c:dLbl>
              <c:idx val="1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539-4F35-84A1-FE97EF3C8210}"/>
                </c:ext>
              </c:extLst>
            </c:dLbl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539-4F35-84A1-FE97EF3C821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Tong_Hop!$B$3:$M$3</c:f>
              <c:numCache>
                <c:formatCode>0%</c:formatCode>
                <c:ptCount val="12"/>
                <c:pt idx="0">
                  <c:v>0.27450980392156871</c:v>
                </c:pt>
                <c:pt idx="1">
                  <c:v>0.39529411764705891</c:v>
                </c:pt>
                <c:pt idx="2">
                  <c:v>0.39529411764705891</c:v>
                </c:pt>
                <c:pt idx="3">
                  <c:v>0.24411764705882349</c:v>
                </c:pt>
                <c:pt idx="4">
                  <c:v>0.46588235294117653</c:v>
                </c:pt>
                <c:pt idx="5">
                  <c:v>0.67764705882352938</c:v>
                </c:pt>
                <c:pt idx="6">
                  <c:v>0.73411764705882354</c:v>
                </c:pt>
                <c:pt idx="7">
                  <c:v>0.67764705882352938</c:v>
                </c:pt>
                <c:pt idx="8">
                  <c:v>0.81882352941176462</c:v>
                </c:pt>
                <c:pt idx="9">
                  <c:v>0.94588235294117651</c:v>
                </c:pt>
                <c:pt idx="10">
                  <c:v>0.81882352941176473</c:v>
                </c:pt>
                <c:pt idx="11">
                  <c:v>0.83294117647058818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539-4F35-84A1-FE97EF3C8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8304"/>
        <c:axId val="1005847864"/>
      </c:lineChart>
      <c:catAx>
        <c:axId val="100585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47864"/>
        <c:crosses val="autoZero"/>
        <c:auto val="1"/>
        <c:lblAlgn val="ctr"/>
        <c:lblOffset val="100"/>
        <c:noMultiLvlLbl val="0"/>
      </c:catAx>
      <c:valAx>
        <c:axId val="100584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8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Phóng điện tạo hình (EN)-9h/ca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có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tải: Ca 1=60%, Ca 2=73%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EN!$K$1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EN!$K$2:$K$75</c:f>
              <c:numCache>
                <c:formatCode>0%</c:formatCode>
                <c:ptCount val="74"/>
                <c:pt idx="0">
                  <c:v>0.45989745776022617</c:v>
                </c:pt>
                <c:pt idx="1">
                  <c:v>0.34446556640456233</c:v>
                </c:pt>
                <c:pt idx="2">
                  <c:v>0.5085760806530758</c:v>
                </c:pt>
                <c:pt idx="3">
                  <c:v>0.49145343357013127</c:v>
                </c:pt>
                <c:pt idx="4">
                  <c:v>0.43639133020918458</c:v>
                </c:pt>
                <c:pt idx="5">
                  <c:v>0.5541903135158962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0.47423037011414737</c:v>
                </c:pt>
                <c:pt idx="13">
                  <c:v>0.70309278350515458</c:v>
                </c:pt>
                <c:pt idx="14">
                  <c:v>0.69432013769363166</c:v>
                </c:pt>
                <c:pt idx="15">
                  <c:v>0.66758525663107127</c:v>
                </c:pt>
                <c:pt idx="16">
                  <c:v>0.38524590163934425</c:v>
                </c:pt>
                <c:pt idx="17">
                  <c:v>0.61422191686705596</c:v>
                </c:pt>
                <c:pt idx="18">
                  <c:v>0.43010010355540212</c:v>
                </c:pt>
                <c:pt idx="19">
                  <c:v>0.53353867214236828</c:v>
                </c:pt>
                <c:pt idx="20">
                  <c:v>0.58157985512245602</c:v>
                </c:pt>
                <c:pt idx="21">
                  <c:v>0.5977327378907592</c:v>
                </c:pt>
                <c:pt idx="22">
                  <c:v>0.45652173913043476</c:v>
                </c:pt>
                <c:pt idx="23">
                  <c:v>0.53955094991364416</c:v>
                </c:pt>
                <c:pt idx="24">
                  <c:v>0.4852233676975945</c:v>
                </c:pt>
                <c:pt idx="25">
                  <c:v>9.7188476223533493E-2</c:v>
                </c:pt>
                <c:pt idx="26">
                  <c:v>0.40103092783505156</c:v>
                </c:pt>
                <c:pt idx="27">
                  <c:v>0.78507565337001373</c:v>
                </c:pt>
                <c:pt idx="28">
                  <c:v>0.60920329670329665</c:v>
                </c:pt>
                <c:pt idx="29">
                  <c:v>0.51086581579855117</c:v>
                </c:pt>
                <c:pt idx="30">
                  <c:v>0.54118050789293071</c:v>
                </c:pt>
                <c:pt idx="31">
                  <c:v>0.66253016201309889</c:v>
                </c:pt>
                <c:pt idx="32">
                  <c:v>0.58906952611553098</c:v>
                </c:pt>
                <c:pt idx="33">
                  <c:v>0.59416809605488852</c:v>
                </c:pt>
                <c:pt idx="34">
                  <c:v>0.51864640883977897</c:v>
                </c:pt>
                <c:pt idx="35">
                  <c:v>0.7674258109040718</c:v>
                </c:pt>
                <c:pt idx="36">
                  <c:v>0.61259079903147695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2-4BB4-AEB5-8541DA85A494}"/>
            </c:ext>
          </c:extLst>
        </c:ser>
        <c:ser>
          <c:idx val="3"/>
          <c:order val="1"/>
          <c:tx>
            <c:strRef>
              <c:f>EN!$L$1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EN!$H$2:$H$75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EN!$L$2:$L$75</c:f>
              <c:numCache>
                <c:formatCode>0%</c:formatCode>
                <c:ptCount val="74"/>
                <c:pt idx="0">
                  <c:v>0.38261493930486684</c:v>
                </c:pt>
                <c:pt idx="1">
                  <c:v>0.26050166026835864</c:v>
                </c:pt>
                <c:pt idx="2">
                  <c:v>0.3962004282464201</c:v>
                </c:pt>
                <c:pt idx="3">
                  <c:v>0.38246890590155641</c:v>
                </c:pt>
                <c:pt idx="4">
                  <c:v>0.41059208734275027</c:v>
                </c:pt>
                <c:pt idx="5">
                  <c:v>0.43458317262659102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0.24835696990660672</c:v>
                </c:pt>
                <c:pt idx="13">
                  <c:v>0.29690721649484536</c:v>
                </c:pt>
                <c:pt idx="14">
                  <c:v>0.30567986230636834</c:v>
                </c:pt>
                <c:pt idx="15">
                  <c:v>0.33241474336892868</c:v>
                </c:pt>
                <c:pt idx="16">
                  <c:v>0.61475409836065575</c:v>
                </c:pt>
                <c:pt idx="17">
                  <c:v>0.38577808313294398</c:v>
                </c:pt>
                <c:pt idx="18">
                  <c:v>0.56989989644459782</c:v>
                </c:pt>
                <c:pt idx="19">
                  <c:v>0.46646132785763178</c:v>
                </c:pt>
                <c:pt idx="20">
                  <c:v>0.41842014487754398</c:v>
                </c:pt>
                <c:pt idx="21">
                  <c:v>0.4022672621092408</c:v>
                </c:pt>
                <c:pt idx="22">
                  <c:v>0.54347826086956519</c:v>
                </c:pt>
                <c:pt idx="23">
                  <c:v>0.46044905008635578</c:v>
                </c:pt>
                <c:pt idx="24">
                  <c:v>0.51477663230240545</c:v>
                </c:pt>
                <c:pt idx="25">
                  <c:v>0.90281152377646645</c:v>
                </c:pt>
                <c:pt idx="26">
                  <c:v>0.59896907216494844</c:v>
                </c:pt>
                <c:pt idx="27">
                  <c:v>0.21492434662998625</c:v>
                </c:pt>
                <c:pt idx="28">
                  <c:v>0.3907967032967033</c:v>
                </c:pt>
                <c:pt idx="29">
                  <c:v>0.48913418420144877</c:v>
                </c:pt>
                <c:pt idx="30">
                  <c:v>0.45881949210706929</c:v>
                </c:pt>
                <c:pt idx="31">
                  <c:v>0.33746983798690106</c:v>
                </c:pt>
                <c:pt idx="32">
                  <c:v>0.41093047388446902</c:v>
                </c:pt>
                <c:pt idx="33">
                  <c:v>0.40583190394511148</c:v>
                </c:pt>
                <c:pt idx="34">
                  <c:v>0.48135359116022097</c:v>
                </c:pt>
                <c:pt idx="35">
                  <c:v>0.23257418909592822</c:v>
                </c:pt>
                <c:pt idx="36">
                  <c:v>0.38291248702870978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2-4BB4-AEB5-8541DA85A494}"/>
            </c:ext>
          </c:extLst>
        </c:ser>
        <c:ser>
          <c:idx val="4"/>
          <c:order val="2"/>
          <c:tx>
            <c:strRef>
              <c:f>EN!$M$1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EN!$H$2:$H$75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EN!$M$2:$M$75</c:f>
              <c:numCache>
                <c:formatCode>0%</c:formatCode>
                <c:ptCount val="74"/>
                <c:pt idx="0">
                  <c:v>0.15748760293490699</c:v>
                </c:pt>
                <c:pt idx="1">
                  <c:v>0.39503277332707903</c:v>
                </c:pt>
                <c:pt idx="2">
                  <c:v>9.5223491100504085E-2</c:v>
                </c:pt>
                <c:pt idx="3">
                  <c:v>0.12607766052831229</c:v>
                </c:pt>
                <c:pt idx="4">
                  <c:v>0.15301658244806521</c:v>
                </c:pt>
                <c:pt idx="5">
                  <c:v>1.1226513857512811E-2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0.27741265997924591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4.4967139398132136E-3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2-4BB4-AEB5-8541DA85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6504"/>
        <c:axId val="1005854704"/>
      </c:barChart>
      <c:lineChart>
        <c:grouping val="standard"/>
        <c:varyColors val="0"/>
        <c:ser>
          <c:idx val="5"/>
          <c:order val="3"/>
          <c:tx>
            <c:strRef>
              <c:f>EN!$I$1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EN!$H$2:$H$75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EN!$I$2:$I$75</c:f>
              <c:numCache>
                <c:formatCode>0%</c:formatCode>
                <c:ptCount val="74"/>
                <c:pt idx="0">
                  <c:v>0.73411764705882354</c:v>
                </c:pt>
                <c:pt idx="1">
                  <c:v>0.73411764705882354</c:v>
                </c:pt>
                <c:pt idx="2">
                  <c:v>0.73411764705882354</c:v>
                </c:pt>
                <c:pt idx="3">
                  <c:v>0.73411764705882354</c:v>
                </c:pt>
                <c:pt idx="4">
                  <c:v>0.73411764705882354</c:v>
                </c:pt>
                <c:pt idx="5">
                  <c:v>0.73411764705882354</c:v>
                </c:pt>
                <c:pt idx="6">
                  <c:v>0.73411764705882354</c:v>
                </c:pt>
                <c:pt idx="7">
                  <c:v>0.73411764705882354</c:v>
                </c:pt>
                <c:pt idx="8">
                  <c:v>0.73411764705882354</c:v>
                </c:pt>
                <c:pt idx="9">
                  <c:v>0.73411764705882354</c:v>
                </c:pt>
                <c:pt idx="10">
                  <c:v>0.73411764705882354</c:v>
                </c:pt>
                <c:pt idx="11">
                  <c:v>0.73411764705882354</c:v>
                </c:pt>
                <c:pt idx="12">
                  <c:v>0.73411764705882354</c:v>
                </c:pt>
                <c:pt idx="13">
                  <c:v>0.73411764705882354</c:v>
                </c:pt>
                <c:pt idx="14">
                  <c:v>0.73411764705882354</c:v>
                </c:pt>
                <c:pt idx="15">
                  <c:v>0.73411764705882354</c:v>
                </c:pt>
                <c:pt idx="16">
                  <c:v>0.73411764705882354</c:v>
                </c:pt>
                <c:pt idx="17">
                  <c:v>0.73411764705882354</c:v>
                </c:pt>
                <c:pt idx="18">
                  <c:v>0.73411764705882354</c:v>
                </c:pt>
                <c:pt idx="19">
                  <c:v>0.73411764705882354</c:v>
                </c:pt>
                <c:pt idx="20">
                  <c:v>0.73411764705882354</c:v>
                </c:pt>
                <c:pt idx="21">
                  <c:v>0.73411764705882354</c:v>
                </c:pt>
                <c:pt idx="22">
                  <c:v>0.73411764705882354</c:v>
                </c:pt>
                <c:pt idx="23">
                  <c:v>0.73411764705882354</c:v>
                </c:pt>
                <c:pt idx="24">
                  <c:v>0.73411764705882354</c:v>
                </c:pt>
                <c:pt idx="25">
                  <c:v>0.73411764705882354</c:v>
                </c:pt>
                <c:pt idx="26">
                  <c:v>0.73411764705882354</c:v>
                </c:pt>
                <c:pt idx="27">
                  <c:v>0.73411764705882354</c:v>
                </c:pt>
                <c:pt idx="28">
                  <c:v>0.73411764705882354</c:v>
                </c:pt>
                <c:pt idx="29">
                  <c:v>0.73411764705882354</c:v>
                </c:pt>
                <c:pt idx="30">
                  <c:v>0.73411764705882354</c:v>
                </c:pt>
                <c:pt idx="31">
                  <c:v>0.73411764705882354</c:v>
                </c:pt>
                <c:pt idx="32">
                  <c:v>0.73411764705882354</c:v>
                </c:pt>
                <c:pt idx="33">
                  <c:v>0.73411764705882354</c:v>
                </c:pt>
                <c:pt idx="34">
                  <c:v>0.73411764705882354</c:v>
                </c:pt>
                <c:pt idx="35">
                  <c:v>0.73411764705882354</c:v>
                </c:pt>
                <c:pt idx="36">
                  <c:v>0.73411764705882354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B2-4BB4-AEB5-8541DA85A494}"/>
            </c:ext>
          </c:extLst>
        </c:ser>
        <c:ser>
          <c:idx val="6"/>
          <c:order val="4"/>
          <c:tx>
            <c:strRef>
              <c:f>EN!$J$1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EN!$H$2:$H$75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EN!$J$2:$J$75</c:f>
              <c:numCache>
                <c:formatCode>0%</c:formatCode>
                <c:ptCount val="74"/>
                <c:pt idx="0">
                  <c:v>0.72252631578947379</c:v>
                </c:pt>
                <c:pt idx="1">
                  <c:v>0.72252631578947379</c:v>
                </c:pt>
                <c:pt idx="2">
                  <c:v>0.72252631578947379</c:v>
                </c:pt>
                <c:pt idx="3">
                  <c:v>0.72252631578947379</c:v>
                </c:pt>
                <c:pt idx="4">
                  <c:v>0.72252631578947379</c:v>
                </c:pt>
                <c:pt idx="5">
                  <c:v>0.72252631578947379</c:v>
                </c:pt>
                <c:pt idx="6">
                  <c:v>0.72252631578947379</c:v>
                </c:pt>
                <c:pt idx="7">
                  <c:v>0.72252631578947379</c:v>
                </c:pt>
                <c:pt idx="8">
                  <c:v>0.72252631578947379</c:v>
                </c:pt>
                <c:pt idx="9">
                  <c:v>0.72252631578947379</c:v>
                </c:pt>
                <c:pt idx="10">
                  <c:v>0.72252631578947379</c:v>
                </c:pt>
                <c:pt idx="11">
                  <c:v>0.72252631578947379</c:v>
                </c:pt>
                <c:pt idx="12">
                  <c:v>0.72252631578947379</c:v>
                </c:pt>
                <c:pt idx="13">
                  <c:v>0.72252631578947379</c:v>
                </c:pt>
                <c:pt idx="14">
                  <c:v>0.72252631578947379</c:v>
                </c:pt>
                <c:pt idx="15">
                  <c:v>0.72252631578947379</c:v>
                </c:pt>
                <c:pt idx="16">
                  <c:v>0.72252631578947379</c:v>
                </c:pt>
                <c:pt idx="17">
                  <c:v>0.72252631578947379</c:v>
                </c:pt>
                <c:pt idx="18">
                  <c:v>0.72252631578947379</c:v>
                </c:pt>
                <c:pt idx="19">
                  <c:v>0.72252631578947379</c:v>
                </c:pt>
                <c:pt idx="20">
                  <c:v>0.72252631578947379</c:v>
                </c:pt>
                <c:pt idx="21">
                  <c:v>0.72252631578947379</c:v>
                </c:pt>
                <c:pt idx="22">
                  <c:v>0.72252631578947379</c:v>
                </c:pt>
                <c:pt idx="23">
                  <c:v>0.72252631578947379</c:v>
                </c:pt>
                <c:pt idx="24">
                  <c:v>0.72252631578947379</c:v>
                </c:pt>
                <c:pt idx="25">
                  <c:v>0.72252631578947379</c:v>
                </c:pt>
                <c:pt idx="26">
                  <c:v>0.72252631578947379</c:v>
                </c:pt>
                <c:pt idx="27">
                  <c:v>0.72252631578947379</c:v>
                </c:pt>
                <c:pt idx="28">
                  <c:v>0.72252631578947379</c:v>
                </c:pt>
                <c:pt idx="29">
                  <c:v>0.72252631578947379</c:v>
                </c:pt>
                <c:pt idx="30">
                  <c:v>0.72252631578947379</c:v>
                </c:pt>
                <c:pt idx="31">
                  <c:v>0.72252631578947379</c:v>
                </c:pt>
                <c:pt idx="32">
                  <c:v>0.72252631578947379</c:v>
                </c:pt>
                <c:pt idx="33">
                  <c:v>0.72252631578947379</c:v>
                </c:pt>
                <c:pt idx="34">
                  <c:v>0.72252631578947379</c:v>
                </c:pt>
                <c:pt idx="35">
                  <c:v>0.72252631578947379</c:v>
                </c:pt>
                <c:pt idx="36">
                  <c:v>0.72252631578947379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B2-4BB4-AEB5-8541DA85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6504"/>
        <c:axId val="1005854704"/>
      </c:lineChart>
      <c:catAx>
        <c:axId val="100585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4704"/>
        <c:crosses val="autoZero"/>
        <c:auto val="1"/>
        <c:lblAlgn val="ctr"/>
        <c:lblOffset val="100"/>
        <c:noMultiLvlLbl val="0"/>
      </c:catAx>
      <c:valAx>
        <c:axId val="10058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6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Cắt dây (EW)-9h/ca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1=68%, Ca 2=84%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8071780840568878E-2"/>
          <c:y val="0.1342631137668085"/>
          <c:w val="0.94995054170911086"/>
          <c:h val="0.6570212489307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EW!$K$1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EW!$H$2:$H$75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EW!$K$2:$K$75</c:f>
              <c:numCache>
                <c:formatCode>0%</c:formatCode>
                <c:ptCount val="74"/>
                <c:pt idx="0">
                  <c:v>0.53119716881184775</c:v>
                </c:pt>
                <c:pt idx="1">
                  <c:v>0.39814005393843577</c:v>
                </c:pt>
                <c:pt idx="2">
                  <c:v>0.59869893166587218</c:v>
                </c:pt>
                <c:pt idx="3">
                  <c:v>0.56341474702363736</c:v>
                </c:pt>
                <c:pt idx="4">
                  <c:v>0.53236378303884546</c:v>
                </c:pt>
                <c:pt idx="5">
                  <c:v>0.59690363787836709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0.48716169326856351</c:v>
                </c:pt>
                <c:pt idx="13">
                  <c:v>0.73967372440124957</c:v>
                </c:pt>
                <c:pt idx="14">
                  <c:v>0.58556056924678934</c:v>
                </c:pt>
                <c:pt idx="15">
                  <c:v>0.66204506065857882</c:v>
                </c:pt>
                <c:pt idx="16">
                  <c:v>0.46648141715873565</c:v>
                </c:pt>
                <c:pt idx="17">
                  <c:v>0.71279916753381889</c:v>
                </c:pt>
                <c:pt idx="18">
                  <c:v>0.56850502948317727</c:v>
                </c:pt>
                <c:pt idx="19">
                  <c:v>0.62790697674418605</c:v>
                </c:pt>
                <c:pt idx="20">
                  <c:v>0.52306625043357613</c:v>
                </c:pt>
                <c:pt idx="21">
                  <c:v>0.75294934073560027</c:v>
                </c:pt>
                <c:pt idx="22">
                  <c:v>0.58666203542896844</c:v>
                </c:pt>
                <c:pt idx="23">
                  <c:v>0.5463702674539771</c:v>
                </c:pt>
                <c:pt idx="24">
                  <c:v>0.50086896072297538</c:v>
                </c:pt>
                <c:pt idx="25">
                  <c:v>7.3662265462126481E-2</c:v>
                </c:pt>
                <c:pt idx="26">
                  <c:v>0.5237764665046859</c:v>
                </c:pt>
                <c:pt idx="27">
                  <c:v>0.828125</c:v>
                </c:pt>
                <c:pt idx="28">
                  <c:v>0.57197363857093309</c:v>
                </c:pt>
                <c:pt idx="29">
                  <c:v>0.69049271339347673</c:v>
                </c:pt>
                <c:pt idx="30">
                  <c:v>0.56597222222222221</c:v>
                </c:pt>
                <c:pt idx="31">
                  <c:v>0.73636679402570338</c:v>
                </c:pt>
                <c:pt idx="32">
                  <c:v>0.59375</c:v>
                </c:pt>
                <c:pt idx="33">
                  <c:v>0.77770059048280649</c:v>
                </c:pt>
                <c:pt idx="34">
                  <c:v>0.57291666666666663</c:v>
                </c:pt>
                <c:pt idx="35">
                  <c:v>0.68875780707841772</c:v>
                </c:pt>
                <c:pt idx="36">
                  <c:v>0.53835473793821587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A-4AD3-9416-1813D3AF9545}"/>
            </c:ext>
          </c:extLst>
        </c:ser>
        <c:ser>
          <c:idx val="3"/>
          <c:order val="1"/>
          <c:tx>
            <c:strRef>
              <c:f>EW!$L$1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EW!$H$2:$H$75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EW!$L$2:$L$75</c:f>
              <c:numCache>
                <c:formatCode>0%</c:formatCode>
                <c:ptCount val="74"/>
                <c:pt idx="0">
                  <c:v>0.28754254671685864</c:v>
                </c:pt>
                <c:pt idx="1">
                  <c:v>0.22337952199386218</c:v>
                </c:pt>
                <c:pt idx="2">
                  <c:v>0.30992345007430672</c:v>
                </c:pt>
                <c:pt idx="3">
                  <c:v>0.34952158369103681</c:v>
                </c:pt>
                <c:pt idx="4">
                  <c:v>0.41613539344096984</c:v>
                </c:pt>
                <c:pt idx="5">
                  <c:v>0.37921410719244653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0.23733518390006939</c:v>
                </c:pt>
                <c:pt idx="13">
                  <c:v>0.26032627559875043</c:v>
                </c:pt>
                <c:pt idx="14">
                  <c:v>0.41443943075321071</c:v>
                </c:pt>
                <c:pt idx="15">
                  <c:v>0.33795493934142112</c:v>
                </c:pt>
                <c:pt idx="16">
                  <c:v>0.5335185828412643</c:v>
                </c:pt>
                <c:pt idx="17">
                  <c:v>0.28720083246618106</c:v>
                </c:pt>
                <c:pt idx="18">
                  <c:v>0.43149497051682273</c:v>
                </c:pt>
                <c:pt idx="19">
                  <c:v>0.37209302325581395</c:v>
                </c:pt>
                <c:pt idx="20">
                  <c:v>0.47693374956642387</c:v>
                </c:pt>
                <c:pt idx="21">
                  <c:v>0.24705065926439973</c:v>
                </c:pt>
                <c:pt idx="22">
                  <c:v>0.41333796457103161</c:v>
                </c:pt>
                <c:pt idx="23">
                  <c:v>0.4536297325460229</c:v>
                </c:pt>
                <c:pt idx="24">
                  <c:v>0.49704553354188391</c:v>
                </c:pt>
                <c:pt idx="25">
                  <c:v>0.67616400277970812</c:v>
                </c:pt>
                <c:pt idx="26">
                  <c:v>0.40680319333564735</c:v>
                </c:pt>
                <c:pt idx="27">
                  <c:v>0.171875</c:v>
                </c:pt>
                <c:pt idx="28">
                  <c:v>0.42802636142906697</c:v>
                </c:pt>
                <c:pt idx="29">
                  <c:v>0.30950728660652327</c:v>
                </c:pt>
                <c:pt idx="30">
                  <c:v>0.43402777777777779</c:v>
                </c:pt>
                <c:pt idx="31">
                  <c:v>0.26363320597429662</c:v>
                </c:pt>
                <c:pt idx="32">
                  <c:v>0.40625</c:v>
                </c:pt>
                <c:pt idx="33">
                  <c:v>0.22229940951719346</c:v>
                </c:pt>
                <c:pt idx="34">
                  <c:v>0.42708333333333331</c:v>
                </c:pt>
                <c:pt idx="35">
                  <c:v>0.31124219292158223</c:v>
                </c:pt>
                <c:pt idx="36">
                  <c:v>0.46164526206178408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A-4AD3-9416-1813D3AF9545}"/>
            </c:ext>
          </c:extLst>
        </c:ser>
        <c:ser>
          <c:idx val="4"/>
          <c:order val="2"/>
          <c:tx>
            <c:strRef>
              <c:f>EW!$M$1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EW!$H$2:$H$75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EW!$M$2:$M$75</c:f>
              <c:numCache>
                <c:formatCode>0%</c:formatCode>
                <c:ptCount val="74"/>
                <c:pt idx="0">
                  <c:v>0.18126028447129364</c:v>
                </c:pt>
                <c:pt idx="1">
                  <c:v>0.37848042406770205</c:v>
                </c:pt>
                <c:pt idx="2">
                  <c:v>9.1377618259821103E-2</c:v>
                </c:pt>
                <c:pt idx="3">
                  <c:v>8.706366928532587E-2</c:v>
                </c:pt>
                <c:pt idx="4">
                  <c:v>5.1500823520184646E-2</c:v>
                </c:pt>
                <c:pt idx="5">
                  <c:v>2.3882254929186338E-2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0.27550312283136713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2.0855057351407717E-3</c:v>
                </c:pt>
                <c:pt idx="25">
                  <c:v>0.25017373175816537</c:v>
                </c:pt>
                <c:pt idx="26">
                  <c:v>6.9420340159666777E-2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A-4AD3-9416-1813D3AF9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30944"/>
        <c:axId val="1005833464"/>
      </c:barChart>
      <c:lineChart>
        <c:grouping val="standard"/>
        <c:varyColors val="0"/>
        <c:ser>
          <c:idx val="5"/>
          <c:order val="3"/>
          <c:tx>
            <c:strRef>
              <c:f>EW!$I$1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EW!$H$2:$H$75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EW!$I$2:$I$75</c:f>
              <c:numCache>
                <c:formatCode>0%</c:formatCode>
                <c:ptCount val="74"/>
                <c:pt idx="0">
                  <c:v>0.81882352941176462</c:v>
                </c:pt>
                <c:pt idx="1">
                  <c:v>0.81882352941176462</c:v>
                </c:pt>
                <c:pt idx="2">
                  <c:v>0.81882352941176462</c:v>
                </c:pt>
                <c:pt idx="3">
                  <c:v>0.81882352941176462</c:v>
                </c:pt>
                <c:pt idx="4">
                  <c:v>0.81882352941176462</c:v>
                </c:pt>
                <c:pt idx="5">
                  <c:v>0.81882352941176462</c:v>
                </c:pt>
                <c:pt idx="6">
                  <c:v>0.81882352941176462</c:v>
                </c:pt>
                <c:pt idx="7">
                  <c:v>0.81882352941176462</c:v>
                </c:pt>
                <c:pt idx="8">
                  <c:v>0.81882352941176462</c:v>
                </c:pt>
                <c:pt idx="9">
                  <c:v>0.81882352941176462</c:v>
                </c:pt>
                <c:pt idx="10">
                  <c:v>0.81882352941176462</c:v>
                </c:pt>
                <c:pt idx="11">
                  <c:v>0.81882352941176462</c:v>
                </c:pt>
                <c:pt idx="12">
                  <c:v>0.81882352941176462</c:v>
                </c:pt>
                <c:pt idx="13">
                  <c:v>0.81882352941176462</c:v>
                </c:pt>
                <c:pt idx="14">
                  <c:v>0.81882352941176462</c:v>
                </c:pt>
                <c:pt idx="15">
                  <c:v>0.81882352941176462</c:v>
                </c:pt>
                <c:pt idx="16">
                  <c:v>0.81882352941176462</c:v>
                </c:pt>
                <c:pt idx="17">
                  <c:v>0.81882352941176462</c:v>
                </c:pt>
                <c:pt idx="18">
                  <c:v>0.81882352941176462</c:v>
                </c:pt>
                <c:pt idx="19">
                  <c:v>0.81882352941176462</c:v>
                </c:pt>
                <c:pt idx="20">
                  <c:v>0.81882352941176462</c:v>
                </c:pt>
                <c:pt idx="21">
                  <c:v>0.81882352941176462</c:v>
                </c:pt>
                <c:pt idx="22">
                  <c:v>0.81882352941176462</c:v>
                </c:pt>
                <c:pt idx="23">
                  <c:v>0.81882352941176462</c:v>
                </c:pt>
                <c:pt idx="24">
                  <c:v>0.81882352941176462</c:v>
                </c:pt>
                <c:pt idx="25">
                  <c:v>0.81882352941176462</c:v>
                </c:pt>
                <c:pt idx="26">
                  <c:v>0.81882352941176462</c:v>
                </c:pt>
                <c:pt idx="27">
                  <c:v>0.81882352941176462</c:v>
                </c:pt>
                <c:pt idx="28">
                  <c:v>0.81882352941176462</c:v>
                </c:pt>
                <c:pt idx="29">
                  <c:v>0.81882352941176462</c:v>
                </c:pt>
                <c:pt idx="30">
                  <c:v>0.81882352941176462</c:v>
                </c:pt>
                <c:pt idx="31">
                  <c:v>0.81882352941176462</c:v>
                </c:pt>
                <c:pt idx="32">
                  <c:v>0.81882352941176462</c:v>
                </c:pt>
                <c:pt idx="33">
                  <c:v>0.81882352941176462</c:v>
                </c:pt>
                <c:pt idx="34">
                  <c:v>0.81882352941176462</c:v>
                </c:pt>
                <c:pt idx="35">
                  <c:v>0.81882352941176462</c:v>
                </c:pt>
                <c:pt idx="36">
                  <c:v>0.81882352941176462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BA-4AD3-9416-1813D3AF9545}"/>
            </c:ext>
          </c:extLst>
        </c:ser>
        <c:ser>
          <c:idx val="6"/>
          <c:order val="4"/>
          <c:tx>
            <c:strRef>
              <c:f>EW!$J$1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EW!$H$2:$H$75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EW!$J$2:$J$75</c:f>
              <c:numCache>
                <c:formatCode>0%</c:formatCode>
                <c:ptCount val="74"/>
                <c:pt idx="0">
                  <c:v>0.84252631578947357</c:v>
                </c:pt>
                <c:pt idx="1">
                  <c:v>0.84252631578947357</c:v>
                </c:pt>
                <c:pt idx="2">
                  <c:v>0.84252631578947357</c:v>
                </c:pt>
                <c:pt idx="3">
                  <c:v>0.84252631578947357</c:v>
                </c:pt>
                <c:pt idx="4">
                  <c:v>0.84252631578947357</c:v>
                </c:pt>
                <c:pt idx="5">
                  <c:v>0.84252631578947357</c:v>
                </c:pt>
                <c:pt idx="6">
                  <c:v>0.84252631578947357</c:v>
                </c:pt>
                <c:pt idx="7">
                  <c:v>0.84252631578947357</c:v>
                </c:pt>
                <c:pt idx="8">
                  <c:v>0.84252631578947357</c:v>
                </c:pt>
                <c:pt idx="9">
                  <c:v>0.84252631578947357</c:v>
                </c:pt>
                <c:pt idx="10">
                  <c:v>0.84252631578947357</c:v>
                </c:pt>
                <c:pt idx="11">
                  <c:v>0.84252631578947357</c:v>
                </c:pt>
                <c:pt idx="12">
                  <c:v>0.84252631578947357</c:v>
                </c:pt>
                <c:pt idx="13">
                  <c:v>0.84252631578947357</c:v>
                </c:pt>
                <c:pt idx="14">
                  <c:v>0.84252631578947357</c:v>
                </c:pt>
                <c:pt idx="15">
                  <c:v>0.84252631578947357</c:v>
                </c:pt>
                <c:pt idx="16">
                  <c:v>0.84252631578947357</c:v>
                </c:pt>
                <c:pt idx="17">
                  <c:v>0.84252631578947357</c:v>
                </c:pt>
                <c:pt idx="18">
                  <c:v>0.84252631578947357</c:v>
                </c:pt>
                <c:pt idx="19">
                  <c:v>0.84252631578947357</c:v>
                </c:pt>
                <c:pt idx="20">
                  <c:v>0.84252631578947357</c:v>
                </c:pt>
                <c:pt idx="21">
                  <c:v>0.84252631578947357</c:v>
                </c:pt>
                <c:pt idx="22">
                  <c:v>0.84252631578947357</c:v>
                </c:pt>
                <c:pt idx="23">
                  <c:v>0.84252631578947357</c:v>
                </c:pt>
                <c:pt idx="24">
                  <c:v>0.84252631578947357</c:v>
                </c:pt>
                <c:pt idx="25">
                  <c:v>0.84252631578947357</c:v>
                </c:pt>
                <c:pt idx="26">
                  <c:v>0.84252631578947357</c:v>
                </c:pt>
                <c:pt idx="27">
                  <c:v>0.84252631578947357</c:v>
                </c:pt>
                <c:pt idx="28">
                  <c:v>0.84252631578947357</c:v>
                </c:pt>
                <c:pt idx="29">
                  <c:v>0.84252631578947357</c:v>
                </c:pt>
                <c:pt idx="30">
                  <c:v>0.84252631578947357</c:v>
                </c:pt>
                <c:pt idx="31">
                  <c:v>0.84252631578947357</c:v>
                </c:pt>
                <c:pt idx="32">
                  <c:v>0.84252631578947357</c:v>
                </c:pt>
                <c:pt idx="33">
                  <c:v>0.84252631578947357</c:v>
                </c:pt>
                <c:pt idx="34">
                  <c:v>0.84252631578947357</c:v>
                </c:pt>
                <c:pt idx="35">
                  <c:v>0.84252631578947357</c:v>
                </c:pt>
                <c:pt idx="36">
                  <c:v>0.84252631578947357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BA-4AD3-9416-1813D3AF9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30944"/>
        <c:axId val="1005833464"/>
      </c:lineChart>
      <c:catAx>
        <c:axId val="10058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3464"/>
        <c:crosses val="autoZero"/>
        <c:auto val="1"/>
        <c:lblAlgn val="ctr"/>
        <c:lblOffset val="100"/>
        <c:noMultiLvlLbl val="0"/>
      </c:catAx>
      <c:valAx>
        <c:axId val="100583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09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824010707717829"/>
          <c:y val="0.93723806363814466"/>
          <c:w val="0.42351978584564332"/>
          <c:h val="6.2761936361855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dụng cụ (GJ)-9h/ca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1=50%, Ca 2=59%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0158595908362307E-2"/>
          <c:y val="0.13622924856556221"/>
          <c:w val="0.94720719844041268"/>
          <c:h val="0.6708670214504536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GJ!$K$1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GJ!$K$2:$K$75</c:f>
              <c:numCache>
                <c:formatCode>0%</c:formatCode>
                <c:ptCount val="74"/>
                <c:pt idx="0">
                  <c:v>0.4827036751477769</c:v>
                </c:pt>
                <c:pt idx="1">
                  <c:v>0.41719428436093786</c:v>
                </c:pt>
                <c:pt idx="2">
                  <c:v>0.36643714564452046</c:v>
                </c:pt>
                <c:pt idx="3">
                  <c:v>0.43801560758082497</c:v>
                </c:pt>
                <c:pt idx="4">
                  <c:v>0.40828034712010436</c:v>
                </c:pt>
                <c:pt idx="5">
                  <c:v>0.45992774718529689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0.61420612813370479</c:v>
                </c:pt>
                <c:pt idx="13">
                  <c:v>0.52361111111111114</c:v>
                </c:pt>
                <c:pt idx="14">
                  <c:v>0.57777777777777772</c:v>
                </c:pt>
                <c:pt idx="15">
                  <c:v>0.61613351877607792</c:v>
                </c:pt>
                <c:pt idx="16">
                  <c:v>0.53055555555555556</c:v>
                </c:pt>
                <c:pt idx="17">
                  <c:v>0.65090403337969405</c:v>
                </c:pt>
                <c:pt idx="18">
                  <c:v>0.55972222222222223</c:v>
                </c:pt>
                <c:pt idx="19">
                  <c:v>0.59926739926739925</c:v>
                </c:pt>
                <c:pt idx="20">
                  <c:v>0</c:v>
                </c:pt>
                <c:pt idx="21">
                  <c:v>0.49583333333333335</c:v>
                </c:pt>
                <c:pt idx="22">
                  <c:v>0</c:v>
                </c:pt>
                <c:pt idx="23">
                  <c:v>0.48698572628043663</c:v>
                </c:pt>
                <c:pt idx="24">
                  <c:v>0</c:v>
                </c:pt>
                <c:pt idx="25">
                  <c:v>0</c:v>
                </c:pt>
                <c:pt idx="26">
                  <c:v>0.58367016976556185</c:v>
                </c:pt>
                <c:pt idx="27">
                  <c:v>0.60652324774462174</c:v>
                </c:pt>
                <c:pt idx="28">
                  <c:v>0.52013888888888893</c:v>
                </c:pt>
                <c:pt idx="29">
                  <c:v>0.66087560806115353</c:v>
                </c:pt>
                <c:pt idx="30">
                  <c:v>0.50381679389312972</c:v>
                </c:pt>
                <c:pt idx="31">
                  <c:v>0.6694444444444444</c:v>
                </c:pt>
                <c:pt idx="32">
                  <c:v>0.50347222222222221</c:v>
                </c:pt>
                <c:pt idx="33">
                  <c:v>0.6177901320361362</c:v>
                </c:pt>
                <c:pt idx="34">
                  <c:v>0.44136016655100624</c:v>
                </c:pt>
                <c:pt idx="35">
                  <c:v>0.57945870922970155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0-401A-8BF4-C4E2126B2DF4}"/>
            </c:ext>
          </c:extLst>
        </c:ser>
        <c:ser>
          <c:idx val="3"/>
          <c:order val="1"/>
          <c:tx>
            <c:strRef>
              <c:f>GJ!$L$1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GJ!$H$2:$H$75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GJ!$L$2:$L$75</c:f>
              <c:numCache>
                <c:formatCode>0%</c:formatCode>
                <c:ptCount val="74"/>
                <c:pt idx="0">
                  <c:v>0.37684399897198662</c:v>
                </c:pt>
                <c:pt idx="1">
                  <c:v>0.30938659508960292</c:v>
                </c:pt>
                <c:pt idx="2">
                  <c:v>0.37231891639684989</c:v>
                </c:pt>
                <c:pt idx="3">
                  <c:v>0.35510033444816053</c:v>
                </c:pt>
                <c:pt idx="4">
                  <c:v>0.28403371787171466</c:v>
                </c:pt>
                <c:pt idx="5">
                  <c:v>0.41825961909438464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0.10445682451253482</c:v>
                </c:pt>
                <c:pt idx="13">
                  <c:v>0.47638888888888886</c:v>
                </c:pt>
                <c:pt idx="14">
                  <c:v>0.42222222222222222</c:v>
                </c:pt>
                <c:pt idx="15">
                  <c:v>0.38386648122392214</c:v>
                </c:pt>
                <c:pt idx="16">
                  <c:v>0.46944444444444444</c:v>
                </c:pt>
                <c:pt idx="17">
                  <c:v>0.34909596662030595</c:v>
                </c:pt>
                <c:pt idx="18">
                  <c:v>0.44027777777777777</c:v>
                </c:pt>
                <c:pt idx="19">
                  <c:v>0.4</c:v>
                </c:pt>
                <c:pt idx="20">
                  <c:v>0.50208333333333333</c:v>
                </c:pt>
                <c:pt idx="21">
                  <c:v>0.3923611111111111</c:v>
                </c:pt>
                <c:pt idx="22">
                  <c:v>0.5</c:v>
                </c:pt>
                <c:pt idx="23">
                  <c:v>0.29554995801847189</c:v>
                </c:pt>
                <c:pt idx="24">
                  <c:v>0</c:v>
                </c:pt>
                <c:pt idx="25">
                  <c:v>0</c:v>
                </c:pt>
                <c:pt idx="26">
                  <c:v>0.25222312045270817</c:v>
                </c:pt>
                <c:pt idx="27">
                  <c:v>0.3927827897293546</c:v>
                </c:pt>
                <c:pt idx="28">
                  <c:v>0.47916666666666669</c:v>
                </c:pt>
                <c:pt idx="29">
                  <c:v>0.33842946490618486</c:v>
                </c:pt>
                <c:pt idx="30">
                  <c:v>0.49548924358084662</c:v>
                </c:pt>
                <c:pt idx="31">
                  <c:v>0.3298611111111111</c:v>
                </c:pt>
                <c:pt idx="32">
                  <c:v>0.49583333333333335</c:v>
                </c:pt>
                <c:pt idx="33">
                  <c:v>0.38151494093120225</c:v>
                </c:pt>
                <c:pt idx="34">
                  <c:v>0.55794587092297021</c:v>
                </c:pt>
                <c:pt idx="35">
                  <c:v>0.41984732824427479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0-401A-8BF4-C4E2126B2DF4}"/>
            </c:ext>
          </c:extLst>
        </c:ser>
        <c:ser>
          <c:idx val="4"/>
          <c:order val="2"/>
          <c:tx>
            <c:strRef>
              <c:f>GJ!$M$1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GJ!$M$2:$M$75</c:f>
              <c:numCache>
                <c:formatCode>0%</c:formatCode>
                <c:ptCount val="74"/>
                <c:pt idx="0">
                  <c:v>0.14045232588023646</c:v>
                </c:pt>
                <c:pt idx="1">
                  <c:v>0.27341912054945922</c:v>
                </c:pt>
                <c:pt idx="2">
                  <c:v>0.26124393795862966</c:v>
                </c:pt>
                <c:pt idx="3">
                  <c:v>0.2068840579710145</c:v>
                </c:pt>
                <c:pt idx="4">
                  <c:v>0.30768593500818092</c:v>
                </c:pt>
                <c:pt idx="5">
                  <c:v>0.12181263372031848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0.28133704735376047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7.326007326007326E-4</c:v>
                </c:pt>
                <c:pt idx="20">
                  <c:v>0.49791666666666667</c:v>
                </c:pt>
                <c:pt idx="21">
                  <c:v>0.11180555555555556</c:v>
                </c:pt>
                <c:pt idx="22">
                  <c:v>0.5</c:v>
                </c:pt>
                <c:pt idx="23">
                  <c:v>0.21746431570109151</c:v>
                </c:pt>
                <c:pt idx="24">
                  <c:v>1</c:v>
                </c:pt>
                <c:pt idx="25">
                  <c:v>1</c:v>
                </c:pt>
                <c:pt idx="26">
                  <c:v>0.16410670978173</c:v>
                </c:pt>
                <c:pt idx="27">
                  <c:v>6.939625260235947E-4</c:v>
                </c:pt>
                <c:pt idx="28">
                  <c:v>6.9444444444444447E-4</c:v>
                </c:pt>
                <c:pt idx="29">
                  <c:v>6.9492703266157052E-4</c:v>
                </c:pt>
                <c:pt idx="30">
                  <c:v>6.939625260235947E-4</c:v>
                </c:pt>
                <c:pt idx="31">
                  <c:v>6.9444444444444447E-4</c:v>
                </c:pt>
                <c:pt idx="32">
                  <c:v>6.9444444444444447E-4</c:v>
                </c:pt>
                <c:pt idx="33">
                  <c:v>6.9492703266157052E-4</c:v>
                </c:pt>
                <c:pt idx="34">
                  <c:v>6.939625260235947E-4</c:v>
                </c:pt>
                <c:pt idx="35">
                  <c:v>6.939625260235947E-4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0-401A-8BF4-C4E2126B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35924272"/>
        <c:axId val="935924632"/>
      </c:barChart>
      <c:lineChart>
        <c:grouping val="standard"/>
        <c:varyColors val="0"/>
        <c:ser>
          <c:idx val="5"/>
          <c:order val="3"/>
          <c:tx>
            <c:strRef>
              <c:f>GJ!$I$1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GJ!$I$2:$I$75</c:f>
              <c:numCache>
                <c:formatCode>0%</c:formatCode>
                <c:ptCount val="74"/>
                <c:pt idx="0">
                  <c:v>0.67764705882352938</c:v>
                </c:pt>
                <c:pt idx="1">
                  <c:v>0.67764705882352938</c:v>
                </c:pt>
                <c:pt idx="2">
                  <c:v>0.67764705882352938</c:v>
                </c:pt>
                <c:pt idx="3">
                  <c:v>0.67764705882352938</c:v>
                </c:pt>
                <c:pt idx="4">
                  <c:v>0.67764705882352938</c:v>
                </c:pt>
                <c:pt idx="5">
                  <c:v>0.67764705882352938</c:v>
                </c:pt>
                <c:pt idx="6">
                  <c:v>0.67764705882352938</c:v>
                </c:pt>
                <c:pt idx="7">
                  <c:v>0.67764705882352938</c:v>
                </c:pt>
                <c:pt idx="8">
                  <c:v>0.67764705882352938</c:v>
                </c:pt>
                <c:pt idx="9">
                  <c:v>0.67764705882352938</c:v>
                </c:pt>
                <c:pt idx="10">
                  <c:v>0.67764705882352938</c:v>
                </c:pt>
                <c:pt idx="11">
                  <c:v>0.67764705882352938</c:v>
                </c:pt>
                <c:pt idx="12">
                  <c:v>0.67764705882352938</c:v>
                </c:pt>
                <c:pt idx="13">
                  <c:v>0.67764705882352938</c:v>
                </c:pt>
                <c:pt idx="14">
                  <c:v>0.67764705882352938</c:v>
                </c:pt>
                <c:pt idx="15">
                  <c:v>0.67764705882352938</c:v>
                </c:pt>
                <c:pt idx="16">
                  <c:v>0.67764705882352938</c:v>
                </c:pt>
                <c:pt idx="17">
                  <c:v>0.67764705882352938</c:v>
                </c:pt>
                <c:pt idx="18">
                  <c:v>0.67764705882352938</c:v>
                </c:pt>
                <c:pt idx="19">
                  <c:v>0.67764705882352938</c:v>
                </c:pt>
                <c:pt idx="20">
                  <c:v>0.67764705882352938</c:v>
                </c:pt>
                <c:pt idx="21">
                  <c:v>0.67764705882352938</c:v>
                </c:pt>
                <c:pt idx="22">
                  <c:v>0.67764705882352938</c:v>
                </c:pt>
                <c:pt idx="23">
                  <c:v>0.67764705882352938</c:v>
                </c:pt>
                <c:pt idx="24">
                  <c:v>0.67764705882352938</c:v>
                </c:pt>
                <c:pt idx="25">
                  <c:v>0.67764705882352938</c:v>
                </c:pt>
                <c:pt idx="26">
                  <c:v>0.67764705882352938</c:v>
                </c:pt>
                <c:pt idx="27">
                  <c:v>0.67764705882352938</c:v>
                </c:pt>
                <c:pt idx="28">
                  <c:v>0.67764705882352938</c:v>
                </c:pt>
                <c:pt idx="29">
                  <c:v>0.67764705882352938</c:v>
                </c:pt>
                <c:pt idx="30">
                  <c:v>0.67764705882352938</c:v>
                </c:pt>
                <c:pt idx="31">
                  <c:v>0.67764705882352938</c:v>
                </c:pt>
                <c:pt idx="32">
                  <c:v>0.67764705882352938</c:v>
                </c:pt>
                <c:pt idx="33">
                  <c:v>0.67764705882352938</c:v>
                </c:pt>
                <c:pt idx="34">
                  <c:v>0.67764705882352938</c:v>
                </c:pt>
                <c:pt idx="35">
                  <c:v>0.67764705882352938</c:v>
                </c:pt>
                <c:pt idx="36">
                  <c:v>0.67764705882352938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B0-401A-8BF4-C4E2126B2DF4}"/>
            </c:ext>
          </c:extLst>
        </c:ser>
        <c:ser>
          <c:idx val="6"/>
          <c:order val="4"/>
          <c:tx>
            <c:strRef>
              <c:f>GJ!$J$1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GJ!$J$2:$J$75</c:f>
              <c:numCache>
                <c:formatCode>0%</c:formatCode>
                <c:ptCount val="74"/>
                <c:pt idx="0">
                  <c:v>0.66694736842105262</c:v>
                </c:pt>
                <c:pt idx="1">
                  <c:v>0.66694736842105262</c:v>
                </c:pt>
                <c:pt idx="2">
                  <c:v>0.66694736842105262</c:v>
                </c:pt>
                <c:pt idx="3">
                  <c:v>0.66694736842105262</c:v>
                </c:pt>
                <c:pt idx="4">
                  <c:v>0.66694736842105262</c:v>
                </c:pt>
                <c:pt idx="5">
                  <c:v>0.66694736842105262</c:v>
                </c:pt>
                <c:pt idx="6">
                  <c:v>0.66694736842105262</c:v>
                </c:pt>
                <c:pt idx="7">
                  <c:v>0.66694736842105262</c:v>
                </c:pt>
                <c:pt idx="8">
                  <c:v>0.66694736842105262</c:v>
                </c:pt>
                <c:pt idx="9">
                  <c:v>0.66694736842105262</c:v>
                </c:pt>
                <c:pt idx="10">
                  <c:v>0.66694736842105262</c:v>
                </c:pt>
                <c:pt idx="11">
                  <c:v>0.66694736842105262</c:v>
                </c:pt>
                <c:pt idx="12">
                  <c:v>0.66694736842105262</c:v>
                </c:pt>
                <c:pt idx="13">
                  <c:v>0.66694736842105262</c:v>
                </c:pt>
                <c:pt idx="14">
                  <c:v>0.66694736842105262</c:v>
                </c:pt>
                <c:pt idx="15">
                  <c:v>0.66694736842105262</c:v>
                </c:pt>
                <c:pt idx="16">
                  <c:v>0.66694736842105262</c:v>
                </c:pt>
                <c:pt idx="17">
                  <c:v>0.66694736842105262</c:v>
                </c:pt>
                <c:pt idx="18">
                  <c:v>0.66694736842105262</c:v>
                </c:pt>
                <c:pt idx="19">
                  <c:v>0.66694736842105262</c:v>
                </c:pt>
                <c:pt idx="20">
                  <c:v>0.66694736842105262</c:v>
                </c:pt>
                <c:pt idx="21">
                  <c:v>0.66694736842105262</c:v>
                </c:pt>
                <c:pt idx="22">
                  <c:v>0.66694736842105262</c:v>
                </c:pt>
                <c:pt idx="23">
                  <c:v>0.66694736842105262</c:v>
                </c:pt>
                <c:pt idx="24">
                  <c:v>0.66694736842105262</c:v>
                </c:pt>
                <c:pt idx="25">
                  <c:v>0.66694736842105262</c:v>
                </c:pt>
                <c:pt idx="26">
                  <c:v>0.66694736842105262</c:v>
                </c:pt>
                <c:pt idx="27">
                  <c:v>0.66694736842105262</c:v>
                </c:pt>
                <c:pt idx="28">
                  <c:v>0.66694736842105262</c:v>
                </c:pt>
                <c:pt idx="29">
                  <c:v>0.66694736842105262</c:v>
                </c:pt>
                <c:pt idx="30">
                  <c:v>0.66694736842105262</c:v>
                </c:pt>
                <c:pt idx="31">
                  <c:v>0.66694736842105262</c:v>
                </c:pt>
                <c:pt idx="32">
                  <c:v>0.66694736842105262</c:v>
                </c:pt>
                <c:pt idx="33">
                  <c:v>0.66694736842105262</c:v>
                </c:pt>
                <c:pt idx="34">
                  <c:v>0.66694736842105262</c:v>
                </c:pt>
                <c:pt idx="35">
                  <c:v>0.66694736842105262</c:v>
                </c:pt>
                <c:pt idx="36">
                  <c:v>0.66694736842105262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0-401A-8BF4-C4E2126B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924272"/>
        <c:axId val="935924632"/>
      </c:lineChart>
      <c:catAx>
        <c:axId val="9359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24632"/>
        <c:crosses val="autoZero"/>
        <c:auto val="1"/>
        <c:lblAlgn val="ctr"/>
        <c:lblOffset val="100"/>
        <c:noMultiLvlLbl val="0"/>
      </c:catAx>
      <c:valAx>
        <c:axId val="93592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242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48437753791982"/>
          <c:y val="0.93631898449826623"/>
          <c:w val="0.44673402618581559"/>
          <c:h val="6.368101550173380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phẳng(GS)-9h/ca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1=35%, Ca 2=49%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GS!$K$1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GS!$H$2:$H$75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GS!$K$2:$K$75</c:f>
              <c:numCache>
                <c:formatCode>0%</c:formatCode>
                <c:ptCount val="74"/>
                <c:pt idx="0">
                  <c:v>0.27141934859098099</c:v>
                </c:pt>
                <c:pt idx="1">
                  <c:v>0.21431030627420219</c:v>
                </c:pt>
                <c:pt idx="2">
                  <c:v>0.28633025580903065</c:v>
                </c:pt>
                <c:pt idx="3">
                  <c:v>0.24688178458376839</c:v>
                </c:pt>
                <c:pt idx="4">
                  <c:v>0.24203132921343268</c:v>
                </c:pt>
                <c:pt idx="5">
                  <c:v>0.30300160743558319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0.34945273631840795</c:v>
                </c:pt>
                <c:pt idx="13">
                  <c:v>0.35243781094527366</c:v>
                </c:pt>
                <c:pt idx="14">
                  <c:v>0.32411460405889375</c:v>
                </c:pt>
                <c:pt idx="15">
                  <c:v>0.36218905472636814</c:v>
                </c:pt>
                <c:pt idx="16">
                  <c:v>0.35144278606965174</c:v>
                </c:pt>
                <c:pt idx="17">
                  <c:v>0.36631495122436791</c:v>
                </c:pt>
                <c:pt idx="18">
                  <c:v>0.36124925402824748</c:v>
                </c:pt>
                <c:pt idx="19">
                  <c:v>0.34660561417479596</c:v>
                </c:pt>
                <c:pt idx="20">
                  <c:v>0.38882259347653142</c:v>
                </c:pt>
                <c:pt idx="21">
                  <c:v>0.33817675159235666</c:v>
                </c:pt>
                <c:pt idx="22">
                  <c:v>0.26144962166467545</c:v>
                </c:pt>
                <c:pt idx="23">
                  <c:v>0.27551223393674157</c:v>
                </c:pt>
                <c:pt idx="24">
                  <c:v>0</c:v>
                </c:pt>
                <c:pt idx="25">
                  <c:v>0</c:v>
                </c:pt>
                <c:pt idx="26">
                  <c:v>0.29850746268656714</c:v>
                </c:pt>
                <c:pt idx="27">
                  <c:v>0.32504475830515217</c:v>
                </c:pt>
                <c:pt idx="28">
                  <c:v>0.25397772474144792</c:v>
                </c:pt>
                <c:pt idx="29">
                  <c:v>0.33485873458018306</c:v>
                </c:pt>
                <c:pt idx="30">
                  <c:v>0.3536197295147176</c:v>
                </c:pt>
                <c:pt idx="31">
                  <c:v>0.33539012738853502</c:v>
                </c:pt>
                <c:pt idx="32">
                  <c:v>0.30414012738853502</c:v>
                </c:pt>
                <c:pt idx="33">
                  <c:v>0.35323383084577115</c:v>
                </c:pt>
                <c:pt idx="34">
                  <c:v>0.28264331210191085</c:v>
                </c:pt>
                <c:pt idx="35">
                  <c:v>0.34998010346199759</c:v>
                </c:pt>
                <c:pt idx="36">
                  <c:v>0.30767700875099441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E-4639-AD06-2F7E3FF1BD5A}"/>
            </c:ext>
          </c:extLst>
        </c:ser>
        <c:ser>
          <c:idx val="3"/>
          <c:order val="1"/>
          <c:tx>
            <c:strRef>
              <c:f>GS!$L$1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GS!$H$2:$H$75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GS!$L$2:$L$75</c:f>
              <c:numCache>
                <c:formatCode>0%</c:formatCode>
                <c:ptCount val="74"/>
                <c:pt idx="0">
                  <c:v>0.30444171858355662</c:v>
                </c:pt>
                <c:pt idx="1">
                  <c:v>0.21273084144657681</c:v>
                </c:pt>
                <c:pt idx="2">
                  <c:v>0.30099815999869733</c:v>
                </c:pt>
                <c:pt idx="3">
                  <c:v>0.29999834269709474</c:v>
                </c:pt>
                <c:pt idx="4">
                  <c:v>0.30970486879849063</c:v>
                </c:pt>
                <c:pt idx="5">
                  <c:v>0.35155889421164038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0.36776119402985075</c:v>
                </c:pt>
                <c:pt idx="13">
                  <c:v>0.42308457711442787</c:v>
                </c:pt>
                <c:pt idx="14">
                  <c:v>0.39335455630720256</c:v>
                </c:pt>
                <c:pt idx="15">
                  <c:v>0.41154228855721392</c:v>
                </c:pt>
                <c:pt idx="16">
                  <c:v>0.3643781094527363</c:v>
                </c:pt>
                <c:pt idx="17">
                  <c:v>0.39697391996814652</c:v>
                </c:pt>
                <c:pt idx="18">
                  <c:v>0.35707181221404416</c:v>
                </c:pt>
                <c:pt idx="19">
                  <c:v>0.41907226756918176</c:v>
                </c:pt>
                <c:pt idx="20">
                  <c:v>0.3267700875099443</c:v>
                </c:pt>
                <c:pt idx="21">
                  <c:v>0.43312101910828027</c:v>
                </c:pt>
                <c:pt idx="22">
                  <c:v>0.35603345280764637</c:v>
                </c:pt>
                <c:pt idx="23">
                  <c:v>0.32564153570718124</c:v>
                </c:pt>
                <c:pt idx="24">
                  <c:v>0</c:v>
                </c:pt>
                <c:pt idx="25">
                  <c:v>0</c:v>
                </c:pt>
                <c:pt idx="26">
                  <c:v>0.40179104477611938</c:v>
                </c:pt>
                <c:pt idx="27">
                  <c:v>0.31649094887606921</c:v>
                </c:pt>
                <c:pt idx="28">
                  <c:v>0.36276849642004771</c:v>
                </c:pt>
                <c:pt idx="29">
                  <c:v>0.40429765220851571</c:v>
                </c:pt>
                <c:pt idx="30">
                  <c:v>0.3673428798727128</c:v>
                </c:pt>
                <c:pt idx="31">
                  <c:v>0.3801751592356688</c:v>
                </c:pt>
                <c:pt idx="32">
                  <c:v>0.41660031847133761</c:v>
                </c:pt>
                <c:pt idx="33">
                  <c:v>0.39721393034825869</c:v>
                </c:pt>
                <c:pt idx="34">
                  <c:v>0.43809713375796178</c:v>
                </c:pt>
                <c:pt idx="35">
                  <c:v>0.36012733784321527</c:v>
                </c:pt>
                <c:pt idx="36">
                  <c:v>0.37151949085123309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E-4639-AD06-2F7E3FF1BD5A}"/>
            </c:ext>
          </c:extLst>
        </c:ser>
        <c:ser>
          <c:idx val="4"/>
          <c:order val="2"/>
          <c:tx>
            <c:strRef>
              <c:f>GS!$M$1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GS!$H$2:$H$75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GS!$M$2:$M$75</c:f>
              <c:numCache>
                <c:formatCode>0%</c:formatCode>
                <c:ptCount val="74"/>
                <c:pt idx="0">
                  <c:v>0.42413893282546239</c:v>
                </c:pt>
                <c:pt idx="1">
                  <c:v>0.57295885227922094</c:v>
                </c:pt>
                <c:pt idx="2">
                  <c:v>0.41267158419227201</c:v>
                </c:pt>
                <c:pt idx="3">
                  <c:v>0.4531198727191369</c:v>
                </c:pt>
                <c:pt idx="4">
                  <c:v>0.44826380198807669</c:v>
                </c:pt>
                <c:pt idx="5">
                  <c:v>0.34543949835277643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0.2827860696517413</c:v>
                </c:pt>
                <c:pt idx="13">
                  <c:v>0.2244776119402985</c:v>
                </c:pt>
                <c:pt idx="14">
                  <c:v>0.28253083963390369</c:v>
                </c:pt>
                <c:pt idx="15">
                  <c:v>0.22626865671641791</c:v>
                </c:pt>
                <c:pt idx="16">
                  <c:v>0.28417910447761197</c:v>
                </c:pt>
                <c:pt idx="17">
                  <c:v>0.23671112880748557</c:v>
                </c:pt>
                <c:pt idx="18">
                  <c:v>0.28167893375770836</c:v>
                </c:pt>
                <c:pt idx="19">
                  <c:v>0.23432211825602231</c:v>
                </c:pt>
                <c:pt idx="20">
                  <c:v>0.28440731901352428</c:v>
                </c:pt>
                <c:pt idx="21">
                  <c:v>0.22870222929936307</c:v>
                </c:pt>
                <c:pt idx="22">
                  <c:v>0.38251692552767824</c:v>
                </c:pt>
                <c:pt idx="23">
                  <c:v>0.39884623035607719</c:v>
                </c:pt>
                <c:pt idx="24">
                  <c:v>1</c:v>
                </c:pt>
                <c:pt idx="25">
                  <c:v>1</c:v>
                </c:pt>
                <c:pt idx="26">
                  <c:v>0.29970149253731343</c:v>
                </c:pt>
                <c:pt idx="27">
                  <c:v>0.35846429281877862</c:v>
                </c:pt>
                <c:pt idx="28">
                  <c:v>0.38325377883850437</c:v>
                </c:pt>
                <c:pt idx="29">
                  <c:v>0.26084361321130123</c:v>
                </c:pt>
                <c:pt idx="30">
                  <c:v>0.2790373906125696</c:v>
                </c:pt>
                <c:pt idx="31">
                  <c:v>0.28443471337579618</c:v>
                </c:pt>
                <c:pt idx="32">
                  <c:v>0.27925955414012738</c:v>
                </c:pt>
                <c:pt idx="33">
                  <c:v>0.24955223880597016</c:v>
                </c:pt>
                <c:pt idx="34">
                  <c:v>0.27925955414012738</c:v>
                </c:pt>
                <c:pt idx="35">
                  <c:v>0.28989255869478708</c:v>
                </c:pt>
                <c:pt idx="36">
                  <c:v>0.3208035003977725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E-4639-AD06-2F7E3FF1B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852904"/>
        <c:axId val="1005853984"/>
      </c:barChart>
      <c:lineChart>
        <c:grouping val="standard"/>
        <c:varyColors val="0"/>
        <c:ser>
          <c:idx val="5"/>
          <c:order val="3"/>
          <c:tx>
            <c:strRef>
              <c:f>GS!$I$1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GS!$H$2:$H$75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GS!$I$2:$I$75</c:f>
              <c:numCache>
                <c:formatCode>0%</c:formatCode>
                <c:ptCount val="74"/>
                <c:pt idx="0">
                  <c:v>0.46588235294117653</c:v>
                </c:pt>
                <c:pt idx="1">
                  <c:v>0.46588235294117653</c:v>
                </c:pt>
                <c:pt idx="2">
                  <c:v>0.46588235294117653</c:v>
                </c:pt>
                <c:pt idx="3">
                  <c:v>0.46588235294117653</c:v>
                </c:pt>
                <c:pt idx="4">
                  <c:v>0.46588235294117653</c:v>
                </c:pt>
                <c:pt idx="5">
                  <c:v>0.46588235294117653</c:v>
                </c:pt>
                <c:pt idx="6">
                  <c:v>0.46588235294117653</c:v>
                </c:pt>
                <c:pt idx="7">
                  <c:v>0.46588235294117653</c:v>
                </c:pt>
                <c:pt idx="8">
                  <c:v>0.46588235294117653</c:v>
                </c:pt>
                <c:pt idx="9">
                  <c:v>0.46588235294117653</c:v>
                </c:pt>
                <c:pt idx="10">
                  <c:v>0.46588235294117653</c:v>
                </c:pt>
                <c:pt idx="11">
                  <c:v>0.46588235294117653</c:v>
                </c:pt>
                <c:pt idx="12">
                  <c:v>0.46588235294117653</c:v>
                </c:pt>
                <c:pt idx="13">
                  <c:v>0.46588235294117653</c:v>
                </c:pt>
                <c:pt idx="14">
                  <c:v>0.46588235294117653</c:v>
                </c:pt>
                <c:pt idx="15">
                  <c:v>0.46588235294117653</c:v>
                </c:pt>
                <c:pt idx="16">
                  <c:v>0.46588235294117653</c:v>
                </c:pt>
                <c:pt idx="17">
                  <c:v>0.46588235294117653</c:v>
                </c:pt>
                <c:pt idx="18">
                  <c:v>0.46588235294117653</c:v>
                </c:pt>
                <c:pt idx="19">
                  <c:v>0.46588235294117653</c:v>
                </c:pt>
                <c:pt idx="20">
                  <c:v>0.46588235294117653</c:v>
                </c:pt>
                <c:pt idx="21">
                  <c:v>0.46588235294117653</c:v>
                </c:pt>
                <c:pt idx="22">
                  <c:v>0.46588235294117653</c:v>
                </c:pt>
                <c:pt idx="23">
                  <c:v>0.46588235294117653</c:v>
                </c:pt>
                <c:pt idx="24">
                  <c:v>0.46588235294117653</c:v>
                </c:pt>
                <c:pt idx="25">
                  <c:v>0.46588235294117653</c:v>
                </c:pt>
                <c:pt idx="26">
                  <c:v>0.46588235294117653</c:v>
                </c:pt>
                <c:pt idx="27">
                  <c:v>0.46588235294117653</c:v>
                </c:pt>
                <c:pt idx="28">
                  <c:v>0.46588235294117653</c:v>
                </c:pt>
                <c:pt idx="29">
                  <c:v>0.46588235294117653</c:v>
                </c:pt>
                <c:pt idx="30">
                  <c:v>0.46588235294117653</c:v>
                </c:pt>
                <c:pt idx="31">
                  <c:v>0.46588235294117653</c:v>
                </c:pt>
                <c:pt idx="32">
                  <c:v>0.46588235294117653</c:v>
                </c:pt>
                <c:pt idx="33">
                  <c:v>0.46588235294117653</c:v>
                </c:pt>
                <c:pt idx="34">
                  <c:v>0.46588235294117653</c:v>
                </c:pt>
                <c:pt idx="35">
                  <c:v>0.46588235294117653</c:v>
                </c:pt>
                <c:pt idx="36">
                  <c:v>0.46588235294117653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CE-4639-AD06-2F7E3FF1BD5A}"/>
            </c:ext>
          </c:extLst>
        </c:ser>
        <c:ser>
          <c:idx val="6"/>
          <c:order val="4"/>
          <c:tx>
            <c:strRef>
              <c:f>GS!$J$1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GS!$H$2:$H$75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GS!$J$2:$J$75</c:f>
              <c:numCache>
                <c:formatCode>0%</c:formatCode>
                <c:ptCount val="74"/>
                <c:pt idx="0">
                  <c:v>0.47936842105263172</c:v>
                </c:pt>
                <c:pt idx="1">
                  <c:v>0.47936842105263172</c:v>
                </c:pt>
                <c:pt idx="2">
                  <c:v>0.47936842105263172</c:v>
                </c:pt>
                <c:pt idx="3">
                  <c:v>0.47936842105263172</c:v>
                </c:pt>
                <c:pt idx="4">
                  <c:v>0.47936842105263172</c:v>
                </c:pt>
                <c:pt idx="5">
                  <c:v>0.47936842105263172</c:v>
                </c:pt>
                <c:pt idx="6">
                  <c:v>0.47936842105263172</c:v>
                </c:pt>
                <c:pt idx="7">
                  <c:v>0.47936842105263172</c:v>
                </c:pt>
                <c:pt idx="8">
                  <c:v>0.47936842105263172</c:v>
                </c:pt>
                <c:pt idx="9">
                  <c:v>0.47936842105263172</c:v>
                </c:pt>
                <c:pt idx="10">
                  <c:v>0.47936842105263172</c:v>
                </c:pt>
                <c:pt idx="11">
                  <c:v>0.47936842105263172</c:v>
                </c:pt>
                <c:pt idx="12">
                  <c:v>0.47936842105263172</c:v>
                </c:pt>
                <c:pt idx="13">
                  <c:v>0.47936842105263172</c:v>
                </c:pt>
                <c:pt idx="14">
                  <c:v>0.47936842105263172</c:v>
                </c:pt>
                <c:pt idx="15">
                  <c:v>0.47936842105263172</c:v>
                </c:pt>
                <c:pt idx="16">
                  <c:v>0.47936842105263172</c:v>
                </c:pt>
                <c:pt idx="17">
                  <c:v>0.47936842105263172</c:v>
                </c:pt>
                <c:pt idx="18">
                  <c:v>0.47936842105263172</c:v>
                </c:pt>
                <c:pt idx="19">
                  <c:v>0.47936842105263172</c:v>
                </c:pt>
                <c:pt idx="20">
                  <c:v>0.47936842105263172</c:v>
                </c:pt>
                <c:pt idx="21">
                  <c:v>0.47936842105263172</c:v>
                </c:pt>
                <c:pt idx="22">
                  <c:v>0.47936842105263172</c:v>
                </c:pt>
                <c:pt idx="23">
                  <c:v>0.47936842105263172</c:v>
                </c:pt>
                <c:pt idx="24">
                  <c:v>0.47936842105263172</c:v>
                </c:pt>
                <c:pt idx="25">
                  <c:v>0.47936842105263172</c:v>
                </c:pt>
                <c:pt idx="26">
                  <c:v>0.47936842105263172</c:v>
                </c:pt>
                <c:pt idx="27">
                  <c:v>0.47936842105263172</c:v>
                </c:pt>
                <c:pt idx="28">
                  <c:v>0.47936842105263172</c:v>
                </c:pt>
                <c:pt idx="29">
                  <c:v>0.47936842105263172</c:v>
                </c:pt>
                <c:pt idx="30">
                  <c:v>0.47936842105263172</c:v>
                </c:pt>
                <c:pt idx="31">
                  <c:v>0.47936842105263172</c:v>
                </c:pt>
                <c:pt idx="32">
                  <c:v>0.47936842105263172</c:v>
                </c:pt>
                <c:pt idx="33">
                  <c:v>0.47936842105263172</c:v>
                </c:pt>
                <c:pt idx="34">
                  <c:v>0.47936842105263172</c:v>
                </c:pt>
                <c:pt idx="35">
                  <c:v>0.47936842105263172</c:v>
                </c:pt>
                <c:pt idx="36">
                  <c:v>0.47936842105263172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CE-4639-AD06-2F7E3FF1B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2904"/>
        <c:axId val="1005853984"/>
      </c:lineChart>
      <c:catAx>
        <c:axId val="100585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3984"/>
        <c:crosses val="autoZero"/>
        <c:auto val="1"/>
        <c:lblAlgn val="ctr"/>
        <c:lblOffset val="100"/>
        <c:noMultiLvlLbl val="0"/>
      </c:catAx>
      <c:valAx>
        <c:axId val="10058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29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mô phỏng (GP)-9h/ca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1=70%, Ca 2=87%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GP!$K$1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GP!$H$2:$H$75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GP!$K$2:$K$75</c:f>
              <c:numCache>
                <c:formatCode>0%</c:formatCode>
                <c:ptCount val="74"/>
                <c:pt idx="0">
                  <c:v>0.53139633286318755</c:v>
                </c:pt>
                <c:pt idx="1">
                  <c:v>0.43318395670146603</c:v>
                </c:pt>
                <c:pt idx="2">
                  <c:v>0.60950188128264171</c:v>
                </c:pt>
                <c:pt idx="3">
                  <c:v>0.56286363320275379</c:v>
                </c:pt>
                <c:pt idx="4">
                  <c:v>0.53643075127905937</c:v>
                </c:pt>
                <c:pt idx="5">
                  <c:v>0.68356332072112169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0.68358831710709322</c:v>
                </c:pt>
                <c:pt idx="13">
                  <c:v>0.83657858136300423</c:v>
                </c:pt>
                <c:pt idx="14">
                  <c:v>0.67385257301808066</c:v>
                </c:pt>
                <c:pt idx="15">
                  <c:v>0.81197771587743728</c:v>
                </c:pt>
                <c:pt idx="16">
                  <c:v>0.67732962447844225</c:v>
                </c:pt>
                <c:pt idx="17">
                  <c:v>0.78929068150208626</c:v>
                </c:pt>
                <c:pt idx="18">
                  <c:v>0.68728283530229328</c:v>
                </c:pt>
                <c:pt idx="19">
                  <c:v>0.78288100208768263</c:v>
                </c:pt>
                <c:pt idx="20">
                  <c:v>0.66945024356297844</c:v>
                </c:pt>
                <c:pt idx="21">
                  <c:v>0.75243393602225317</c:v>
                </c:pt>
                <c:pt idx="22">
                  <c:v>0.60542797494780798</c:v>
                </c:pt>
                <c:pt idx="23">
                  <c:v>0.65970772442588721</c:v>
                </c:pt>
                <c:pt idx="24">
                  <c:v>0.56685236768802227</c:v>
                </c:pt>
                <c:pt idx="25">
                  <c:v>0</c:v>
                </c:pt>
                <c:pt idx="26">
                  <c:v>0.68011126564673152</c:v>
                </c:pt>
                <c:pt idx="27">
                  <c:v>0.72025052192066807</c:v>
                </c:pt>
                <c:pt idx="28">
                  <c:v>0.6794158553546592</c:v>
                </c:pt>
                <c:pt idx="29">
                  <c:v>0.74200278164116829</c:v>
                </c:pt>
                <c:pt idx="30">
                  <c:v>0.65855354659248955</c:v>
                </c:pt>
                <c:pt idx="31">
                  <c:v>0.73834377174669452</c:v>
                </c:pt>
                <c:pt idx="32">
                  <c:v>0.66945024356297844</c:v>
                </c:pt>
                <c:pt idx="33">
                  <c:v>0.89221140472879001</c:v>
                </c:pt>
                <c:pt idx="34">
                  <c:v>0.7810979847116053</c:v>
                </c:pt>
                <c:pt idx="35">
                  <c:v>0.72253129346314326</c:v>
                </c:pt>
                <c:pt idx="36">
                  <c:v>0.60945100764419735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0-46ED-AEB5-6559DD345898}"/>
            </c:ext>
          </c:extLst>
        </c:ser>
        <c:ser>
          <c:idx val="3"/>
          <c:order val="1"/>
          <c:tx>
            <c:strRef>
              <c:f>GP!$L$1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GP!$H$2:$H$75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GP!$L$2:$L$75</c:f>
              <c:numCache>
                <c:formatCode>0%</c:formatCode>
                <c:ptCount val="74"/>
                <c:pt idx="0">
                  <c:v>0.15110860366713683</c:v>
                </c:pt>
                <c:pt idx="1">
                  <c:v>7.8217907816825347E-2</c:v>
                </c:pt>
                <c:pt idx="2">
                  <c:v>7.4453866457011283E-2</c:v>
                </c:pt>
                <c:pt idx="3">
                  <c:v>6.841519668065181E-2</c:v>
                </c:pt>
                <c:pt idx="4">
                  <c:v>7.4869850103222335E-2</c:v>
                </c:pt>
                <c:pt idx="5">
                  <c:v>5.1997551747162252E-2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3.7552155771905425E-2</c:v>
                </c:pt>
                <c:pt idx="13">
                  <c:v>1.5994436717663423E-2</c:v>
                </c:pt>
                <c:pt idx="14">
                  <c:v>4.4506258692628649E-2</c:v>
                </c:pt>
                <c:pt idx="15">
                  <c:v>2.298050139275766E-2</c:v>
                </c:pt>
                <c:pt idx="16">
                  <c:v>3.7552155771905425E-2</c:v>
                </c:pt>
                <c:pt idx="17">
                  <c:v>3.4075104311543813E-2</c:v>
                </c:pt>
                <c:pt idx="18">
                  <c:v>3.8915913829047952E-2</c:v>
                </c:pt>
                <c:pt idx="19">
                  <c:v>4.4537230340988172E-2</c:v>
                </c:pt>
                <c:pt idx="20">
                  <c:v>5.6367432150313153E-2</c:v>
                </c:pt>
                <c:pt idx="21">
                  <c:v>6.8150208623087627E-2</c:v>
                </c:pt>
                <c:pt idx="22">
                  <c:v>7.724425887265135E-2</c:v>
                </c:pt>
                <c:pt idx="23">
                  <c:v>4.1753653444676408E-2</c:v>
                </c:pt>
                <c:pt idx="24">
                  <c:v>0.10097493036211699</c:v>
                </c:pt>
                <c:pt idx="25">
                  <c:v>0</c:v>
                </c:pt>
                <c:pt idx="26">
                  <c:v>4.4506258692628649E-2</c:v>
                </c:pt>
                <c:pt idx="27">
                  <c:v>6.2630480167014613E-2</c:v>
                </c:pt>
                <c:pt idx="28">
                  <c:v>4.5201668984700974E-2</c:v>
                </c:pt>
                <c:pt idx="29">
                  <c:v>3.7552155771905425E-2</c:v>
                </c:pt>
                <c:pt idx="30">
                  <c:v>7.5799721835883169E-2</c:v>
                </c:pt>
                <c:pt idx="31">
                  <c:v>9.9512874043145447E-2</c:v>
                </c:pt>
                <c:pt idx="32">
                  <c:v>6.0542797494780795E-2</c:v>
                </c:pt>
                <c:pt idx="33">
                  <c:v>3.5465924895688457E-2</c:v>
                </c:pt>
                <c:pt idx="34">
                  <c:v>8.2001389854065326E-2</c:v>
                </c:pt>
                <c:pt idx="35">
                  <c:v>5.8414464534075103E-2</c:v>
                </c:pt>
                <c:pt idx="36">
                  <c:v>7.7831827658095903E-2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0-46ED-AEB5-6559DD345898}"/>
            </c:ext>
          </c:extLst>
        </c:ser>
        <c:ser>
          <c:idx val="4"/>
          <c:order val="2"/>
          <c:tx>
            <c:strRef>
              <c:f>GP!$M$1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GP!$H$2:$H$75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GP!$M$2:$M$75</c:f>
              <c:numCache>
                <c:formatCode>0%</c:formatCode>
                <c:ptCount val="74"/>
                <c:pt idx="0">
                  <c:v>0.3174950634696756</c:v>
                </c:pt>
                <c:pt idx="1">
                  <c:v>0.48859813548170861</c:v>
                </c:pt>
                <c:pt idx="2">
                  <c:v>0.31604425226034705</c:v>
                </c:pt>
                <c:pt idx="3">
                  <c:v>0.36872117011659444</c:v>
                </c:pt>
                <c:pt idx="4">
                  <c:v>0.38869939861771835</c:v>
                </c:pt>
                <c:pt idx="5">
                  <c:v>0.264439127531716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0.27885952712100137</c:v>
                </c:pt>
                <c:pt idx="13">
                  <c:v>0.1474269819193324</c:v>
                </c:pt>
                <c:pt idx="14">
                  <c:v>0.2816411682892907</c:v>
                </c:pt>
                <c:pt idx="15">
                  <c:v>0.16504178272980502</c:v>
                </c:pt>
                <c:pt idx="16">
                  <c:v>0.28511821974965229</c:v>
                </c:pt>
                <c:pt idx="17">
                  <c:v>0.17663421418636996</c:v>
                </c:pt>
                <c:pt idx="18">
                  <c:v>0.27380125086865881</c:v>
                </c:pt>
                <c:pt idx="19">
                  <c:v>0.17258176757132915</c:v>
                </c:pt>
                <c:pt idx="20">
                  <c:v>0.27418232428670841</c:v>
                </c:pt>
                <c:pt idx="21">
                  <c:v>0.17941585535465926</c:v>
                </c:pt>
                <c:pt idx="22">
                  <c:v>0.31732776617954073</c:v>
                </c:pt>
                <c:pt idx="23">
                  <c:v>0.29853862212943633</c:v>
                </c:pt>
                <c:pt idx="24">
                  <c:v>0.3321727019498607</c:v>
                </c:pt>
                <c:pt idx="25">
                  <c:v>1</c:v>
                </c:pt>
                <c:pt idx="26">
                  <c:v>0.27538247566063978</c:v>
                </c:pt>
                <c:pt idx="27">
                  <c:v>0.21711899791231734</c:v>
                </c:pt>
                <c:pt idx="28">
                  <c:v>0.27538247566063978</c:v>
                </c:pt>
                <c:pt idx="29">
                  <c:v>0.22044506258692628</c:v>
                </c:pt>
                <c:pt idx="30">
                  <c:v>0.26564673157162727</c:v>
                </c:pt>
                <c:pt idx="31">
                  <c:v>0.16214335421016005</c:v>
                </c:pt>
                <c:pt idx="32">
                  <c:v>0.2700069589422408</c:v>
                </c:pt>
                <c:pt idx="33">
                  <c:v>7.2322670375521564E-2</c:v>
                </c:pt>
                <c:pt idx="34">
                  <c:v>0.1369006254343294</c:v>
                </c:pt>
                <c:pt idx="35">
                  <c:v>0.21905424200278165</c:v>
                </c:pt>
                <c:pt idx="36">
                  <c:v>0.31271716469770672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0-46ED-AEB5-6559DD345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32304"/>
        <c:axId val="1005733384"/>
      </c:barChart>
      <c:lineChart>
        <c:grouping val="standard"/>
        <c:varyColors val="0"/>
        <c:ser>
          <c:idx val="5"/>
          <c:order val="3"/>
          <c:tx>
            <c:strRef>
              <c:f>GP!$I$1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GP!$H$2:$H$75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GP!$I$2:$I$75</c:f>
              <c:numCache>
                <c:formatCode>0%</c:formatCode>
                <c:ptCount val="74"/>
                <c:pt idx="0">
                  <c:v>0.94588235294117651</c:v>
                </c:pt>
                <c:pt idx="1">
                  <c:v>0.94588235294117651</c:v>
                </c:pt>
                <c:pt idx="2">
                  <c:v>0.94588235294117651</c:v>
                </c:pt>
                <c:pt idx="3">
                  <c:v>0.94588235294117651</c:v>
                </c:pt>
                <c:pt idx="4">
                  <c:v>0.94588235294117651</c:v>
                </c:pt>
                <c:pt idx="5">
                  <c:v>0.94588235294117651</c:v>
                </c:pt>
                <c:pt idx="6">
                  <c:v>0.94588235294117651</c:v>
                </c:pt>
                <c:pt idx="7">
                  <c:v>0.94588235294117651</c:v>
                </c:pt>
                <c:pt idx="8">
                  <c:v>0.94588235294117651</c:v>
                </c:pt>
                <c:pt idx="9">
                  <c:v>0.94588235294117651</c:v>
                </c:pt>
                <c:pt idx="10">
                  <c:v>0.94588235294117651</c:v>
                </c:pt>
                <c:pt idx="11">
                  <c:v>0.94588235294117651</c:v>
                </c:pt>
                <c:pt idx="12">
                  <c:v>0.94588235294117651</c:v>
                </c:pt>
                <c:pt idx="13">
                  <c:v>0.94588235294117651</c:v>
                </c:pt>
                <c:pt idx="14">
                  <c:v>0.94588235294117651</c:v>
                </c:pt>
                <c:pt idx="15">
                  <c:v>0.94588235294117651</c:v>
                </c:pt>
                <c:pt idx="16">
                  <c:v>0.94588235294117651</c:v>
                </c:pt>
                <c:pt idx="17">
                  <c:v>0.94588235294117651</c:v>
                </c:pt>
                <c:pt idx="18">
                  <c:v>0.94588235294117651</c:v>
                </c:pt>
                <c:pt idx="19">
                  <c:v>0.94588235294117651</c:v>
                </c:pt>
                <c:pt idx="20">
                  <c:v>0.94588235294117651</c:v>
                </c:pt>
                <c:pt idx="21">
                  <c:v>0.94588235294117651</c:v>
                </c:pt>
                <c:pt idx="22">
                  <c:v>0.94588235294117651</c:v>
                </c:pt>
                <c:pt idx="23">
                  <c:v>0.94588235294117651</c:v>
                </c:pt>
                <c:pt idx="24">
                  <c:v>0.94588235294117651</c:v>
                </c:pt>
                <c:pt idx="25">
                  <c:v>0.94588235294117651</c:v>
                </c:pt>
                <c:pt idx="26">
                  <c:v>0.94588235294117651</c:v>
                </c:pt>
                <c:pt idx="27">
                  <c:v>0.94588235294117651</c:v>
                </c:pt>
                <c:pt idx="28">
                  <c:v>0.94588235294117651</c:v>
                </c:pt>
                <c:pt idx="29">
                  <c:v>0.94588235294117651</c:v>
                </c:pt>
                <c:pt idx="30">
                  <c:v>0.94588235294117651</c:v>
                </c:pt>
                <c:pt idx="31">
                  <c:v>0.94588235294117651</c:v>
                </c:pt>
                <c:pt idx="32">
                  <c:v>0.94588235294117651</c:v>
                </c:pt>
                <c:pt idx="33">
                  <c:v>0.94588235294117651</c:v>
                </c:pt>
                <c:pt idx="34">
                  <c:v>0.94588235294117651</c:v>
                </c:pt>
                <c:pt idx="35">
                  <c:v>0.94588235294117651</c:v>
                </c:pt>
                <c:pt idx="36">
                  <c:v>0.94588235294117651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60-46ED-AEB5-6559DD345898}"/>
            </c:ext>
          </c:extLst>
        </c:ser>
        <c:ser>
          <c:idx val="6"/>
          <c:order val="4"/>
          <c:tx>
            <c:strRef>
              <c:f>GP!$J$1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GP!$H$2:$H$75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GP!$J$2:$J$75</c:f>
              <c:numCache>
                <c:formatCode>0%</c:formatCode>
                <c:ptCount val="74"/>
                <c:pt idx="0">
                  <c:v>0.93094736842105286</c:v>
                </c:pt>
                <c:pt idx="1">
                  <c:v>0.93094736842105286</c:v>
                </c:pt>
                <c:pt idx="2">
                  <c:v>0.93094736842105286</c:v>
                </c:pt>
                <c:pt idx="3">
                  <c:v>0.93094736842105286</c:v>
                </c:pt>
                <c:pt idx="4">
                  <c:v>0.93094736842105286</c:v>
                </c:pt>
                <c:pt idx="5">
                  <c:v>0.93094736842105286</c:v>
                </c:pt>
                <c:pt idx="6">
                  <c:v>0.93094736842105286</c:v>
                </c:pt>
                <c:pt idx="7">
                  <c:v>0.93094736842105286</c:v>
                </c:pt>
                <c:pt idx="8">
                  <c:v>0.93094736842105286</c:v>
                </c:pt>
                <c:pt idx="9">
                  <c:v>0.93094736842105286</c:v>
                </c:pt>
                <c:pt idx="10">
                  <c:v>0.93094736842105286</c:v>
                </c:pt>
                <c:pt idx="11">
                  <c:v>0.93094736842105286</c:v>
                </c:pt>
                <c:pt idx="12">
                  <c:v>0.93094736842105286</c:v>
                </c:pt>
                <c:pt idx="13">
                  <c:v>0.93094736842105286</c:v>
                </c:pt>
                <c:pt idx="14">
                  <c:v>0.93094736842105286</c:v>
                </c:pt>
                <c:pt idx="15">
                  <c:v>0.93094736842105286</c:v>
                </c:pt>
                <c:pt idx="16">
                  <c:v>0.93094736842105286</c:v>
                </c:pt>
                <c:pt idx="17">
                  <c:v>0.93094736842105286</c:v>
                </c:pt>
                <c:pt idx="18">
                  <c:v>0.93094736842105286</c:v>
                </c:pt>
                <c:pt idx="19">
                  <c:v>0.93094736842105286</c:v>
                </c:pt>
                <c:pt idx="20">
                  <c:v>0.93094736842105286</c:v>
                </c:pt>
                <c:pt idx="21">
                  <c:v>0.93094736842105286</c:v>
                </c:pt>
                <c:pt idx="22">
                  <c:v>0.93094736842105286</c:v>
                </c:pt>
                <c:pt idx="23">
                  <c:v>0.93094736842105286</c:v>
                </c:pt>
                <c:pt idx="24">
                  <c:v>0.93094736842105286</c:v>
                </c:pt>
                <c:pt idx="25">
                  <c:v>0.93094736842105286</c:v>
                </c:pt>
                <c:pt idx="26">
                  <c:v>0.93094736842105286</c:v>
                </c:pt>
                <c:pt idx="27">
                  <c:v>0.93094736842105286</c:v>
                </c:pt>
                <c:pt idx="28">
                  <c:v>0.93094736842105286</c:v>
                </c:pt>
                <c:pt idx="29">
                  <c:v>0.93094736842105286</c:v>
                </c:pt>
                <c:pt idx="30">
                  <c:v>0.93094736842105286</c:v>
                </c:pt>
                <c:pt idx="31">
                  <c:v>0.93094736842105286</c:v>
                </c:pt>
                <c:pt idx="32">
                  <c:v>0.93094736842105286</c:v>
                </c:pt>
                <c:pt idx="33">
                  <c:v>0.93094736842105286</c:v>
                </c:pt>
                <c:pt idx="34">
                  <c:v>0.93094736842105286</c:v>
                </c:pt>
                <c:pt idx="35">
                  <c:v>0.93094736842105286</c:v>
                </c:pt>
                <c:pt idx="36">
                  <c:v>0.93094736842105286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60-46ED-AEB5-6559DD345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32304"/>
        <c:axId val="1005733384"/>
      </c:lineChart>
      <c:catAx>
        <c:axId val="10057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3384"/>
        <c:crosses val="autoZero"/>
        <c:auto val="1"/>
        <c:lblAlgn val="ctr"/>
        <c:lblOffset val="100"/>
        <c:noMultiLvlLbl val="0"/>
      </c:catAx>
      <c:valAx>
        <c:axId val="100573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2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tròn có tâm-9h/ca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1=48%, Ca 2=68%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GR!$K$1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GR!$K$2:$K$75</c:f>
              <c:numCache>
                <c:formatCode>0%</c:formatCode>
                <c:ptCount val="74"/>
                <c:pt idx="0">
                  <c:v>0.40024170139712445</c:v>
                </c:pt>
                <c:pt idx="1">
                  <c:v>0.30793879477370956</c:v>
                </c:pt>
                <c:pt idx="2">
                  <c:v>0.41276459999544285</c:v>
                </c:pt>
                <c:pt idx="3">
                  <c:v>0.41388228472020877</c:v>
                </c:pt>
                <c:pt idx="4">
                  <c:v>0.36581177394915537</c:v>
                </c:pt>
                <c:pt idx="5">
                  <c:v>0.49192470483403877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0.49825783972125437</c:v>
                </c:pt>
                <c:pt idx="13">
                  <c:v>0.56258692628650908</c:v>
                </c:pt>
                <c:pt idx="14">
                  <c:v>0.45125348189415043</c:v>
                </c:pt>
                <c:pt idx="15">
                  <c:v>0.54494773519163764</c:v>
                </c:pt>
                <c:pt idx="16">
                  <c:v>0.48467966573816157</c:v>
                </c:pt>
                <c:pt idx="17">
                  <c:v>0.53272980501392753</c:v>
                </c:pt>
                <c:pt idx="18">
                  <c:v>0.56197771587743728</c:v>
                </c:pt>
                <c:pt idx="19">
                  <c:v>0.5870473537604457</c:v>
                </c:pt>
                <c:pt idx="20">
                  <c:v>0.57242339832869082</c:v>
                </c:pt>
                <c:pt idx="21">
                  <c:v>0.55153203342618384</c:v>
                </c:pt>
                <c:pt idx="22">
                  <c:v>0.47807933194154489</c:v>
                </c:pt>
                <c:pt idx="23">
                  <c:v>0.46480836236933798</c:v>
                </c:pt>
                <c:pt idx="24">
                  <c:v>0</c:v>
                </c:pt>
                <c:pt idx="25">
                  <c:v>0</c:v>
                </c:pt>
                <c:pt idx="26">
                  <c:v>0.55919220055710306</c:v>
                </c:pt>
                <c:pt idx="27">
                  <c:v>0.49407665505226483</c:v>
                </c:pt>
                <c:pt idx="28">
                  <c:v>0.53963838664812236</c:v>
                </c:pt>
                <c:pt idx="29">
                  <c:v>0.62116991643454034</c:v>
                </c:pt>
                <c:pt idx="30">
                  <c:v>0.51567944250871078</c:v>
                </c:pt>
                <c:pt idx="31">
                  <c:v>0.59638135003479475</c:v>
                </c:pt>
                <c:pt idx="32">
                  <c:v>0.50313152400835071</c:v>
                </c:pt>
                <c:pt idx="33">
                  <c:v>0.54210160055671541</c:v>
                </c:pt>
                <c:pt idx="34">
                  <c:v>0.55949895615866385</c:v>
                </c:pt>
                <c:pt idx="35">
                  <c:v>0.60681976339596377</c:v>
                </c:pt>
                <c:pt idx="36">
                  <c:v>0.47247386759581883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1-4E0E-BA54-F66880C9D902}"/>
            </c:ext>
          </c:extLst>
        </c:ser>
        <c:ser>
          <c:idx val="3"/>
          <c:order val="1"/>
          <c:tx>
            <c:strRef>
              <c:f>GR!$L$1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GR!$H$2:$H$75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GR!$L$2:$L$75</c:f>
              <c:numCache>
                <c:formatCode>0%</c:formatCode>
                <c:ptCount val="74"/>
                <c:pt idx="0">
                  <c:v>0.19633156010345723</c:v>
                </c:pt>
                <c:pt idx="1">
                  <c:v>0.1315887525460778</c:v>
                </c:pt>
                <c:pt idx="2">
                  <c:v>0.18602319593501493</c:v>
                </c:pt>
                <c:pt idx="3">
                  <c:v>0.19083792403595246</c:v>
                </c:pt>
                <c:pt idx="4">
                  <c:v>0.19323194343116898</c:v>
                </c:pt>
                <c:pt idx="5">
                  <c:v>0.18901759857429271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0.22160278745644599</c:v>
                </c:pt>
                <c:pt idx="13">
                  <c:v>0.21418636995827539</c:v>
                </c:pt>
                <c:pt idx="14">
                  <c:v>0.2667130919220056</c:v>
                </c:pt>
                <c:pt idx="15">
                  <c:v>0.23554006968641114</c:v>
                </c:pt>
                <c:pt idx="16">
                  <c:v>0.23537604456824512</c:v>
                </c:pt>
                <c:pt idx="17">
                  <c:v>0.24025069637883009</c:v>
                </c:pt>
                <c:pt idx="18">
                  <c:v>0.15877437325905291</c:v>
                </c:pt>
                <c:pt idx="19">
                  <c:v>0.19011142061281336</c:v>
                </c:pt>
                <c:pt idx="20">
                  <c:v>0.14693593314763231</c:v>
                </c:pt>
                <c:pt idx="21">
                  <c:v>0.22562674094707522</c:v>
                </c:pt>
                <c:pt idx="22">
                  <c:v>0.20180932498260265</c:v>
                </c:pt>
                <c:pt idx="23">
                  <c:v>0.18466898954703834</c:v>
                </c:pt>
                <c:pt idx="24">
                  <c:v>0</c:v>
                </c:pt>
                <c:pt idx="25">
                  <c:v>0</c:v>
                </c:pt>
                <c:pt idx="26">
                  <c:v>0.1573816155988858</c:v>
                </c:pt>
                <c:pt idx="27">
                  <c:v>0.27874564459930312</c:v>
                </c:pt>
                <c:pt idx="28">
                  <c:v>0.1689847009735744</c:v>
                </c:pt>
                <c:pt idx="29">
                  <c:v>0.15250696378830084</c:v>
                </c:pt>
                <c:pt idx="30">
                  <c:v>0.20209059233449478</c:v>
                </c:pt>
                <c:pt idx="31">
                  <c:v>0.2512178148921364</c:v>
                </c:pt>
                <c:pt idx="32">
                  <c:v>0.35768963117606123</c:v>
                </c:pt>
                <c:pt idx="33">
                  <c:v>0.18928322894919972</c:v>
                </c:pt>
                <c:pt idx="34">
                  <c:v>0.16144745998608212</c:v>
                </c:pt>
                <c:pt idx="35">
                  <c:v>8.2115518441196939E-2</c:v>
                </c:pt>
                <c:pt idx="36">
                  <c:v>0.2034843205574913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1-4E0E-BA54-F66880C9D902}"/>
            </c:ext>
          </c:extLst>
        </c:ser>
        <c:ser>
          <c:idx val="4"/>
          <c:order val="2"/>
          <c:tx>
            <c:strRef>
              <c:f>GR!$M$1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GR!$H$2:$H$75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GR!$M$2:$M$75</c:f>
              <c:numCache>
                <c:formatCode>0%</c:formatCode>
                <c:ptCount val="74"/>
                <c:pt idx="0">
                  <c:v>0.40342673849941835</c:v>
                </c:pt>
                <c:pt idx="1">
                  <c:v>0.56047245268021262</c:v>
                </c:pt>
                <c:pt idx="2">
                  <c:v>0.40121220406954222</c:v>
                </c:pt>
                <c:pt idx="3">
                  <c:v>0.39527979124383877</c:v>
                </c:pt>
                <c:pt idx="4">
                  <c:v>0.44095628261967562</c:v>
                </c:pt>
                <c:pt idx="5">
                  <c:v>0.31905769659166855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0.28013937282229967</c:v>
                </c:pt>
                <c:pt idx="13">
                  <c:v>0.22322670375521558</c:v>
                </c:pt>
                <c:pt idx="14">
                  <c:v>0.28203342618384403</c:v>
                </c:pt>
                <c:pt idx="15">
                  <c:v>0.21951219512195122</c:v>
                </c:pt>
                <c:pt idx="16">
                  <c:v>0.27994428969359331</c:v>
                </c:pt>
                <c:pt idx="17">
                  <c:v>0.22701949860724233</c:v>
                </c:pt>
                <c:pt idx="18">
                  <c:v>0.27924791086350975</c:v>
                </c:pt>
                <c:pt idx="19">
                  <c:v>0.22284122562674094</c:v>
                </c:pt>
                <c:pt idx="20">
                  <c:v>0.28064066852367686</c:v>
                </c:pt>
                <c:pt idx="21">
                  <c:v>0.22284122562674094</c:v>
                </c:pt>
                <c:pt idx="22">
                  <c:v>0.32011134307585248</c:v>
                </c:pt>
                <c:pt idx="23">
                  <c:v>0.35052264808362371</c:v>
                </c:pt>
                <c:pt idx="24">
                  <c:v>1</c:v>
                </c:pt>
                <c:pt idx="25">
                  <c:v>1</c:v>
                </c:pt>
                <c:pt idx="26">
                  <c:v>0.28342618384401114</c:v>
                </c:pt>
                <c:pt idx="27">
                  <c:v>0.22717770034843204</c:v>
                </c:pt>
                <c:pt idx="28">
                  <c:v>0.29137691237830321</c:v>
                </c:pt>
                <c:pt idx="29">
                  <c:v>0.22632311977715877</c:v>
                </c:pt>
                <c:pt idx="30">
                  <c:v>0.28222996515679444</c:v>
                </c:pt>
                <c:pt idx="31">
                  <c:v>0.1524008350730689</c:v>
                </c:pt>
                <c:pt idx="32">
                  <c:v>0.13917884481558804</c:v>
                </c:pt>
                <c:pt idx="33">
                  <c:v>0.2686151704940849</c:v>
                </c:pt>
                <c:pt idx="34">
                  <c:v>0.27905358385525403</c:v>
                </c:pt>
                <c:pt idx="35">
                  <c:v>0.31106471816283926</c:v>
                </c:pt>
                <c:pt idx="36">
                  <c:v>0.3240418118466899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1-4E0E-BA54-F66880C9D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851464"/>
        <c:axId val="1005855064"/>
      </c:barChart>
      <c:lineChart>
        <c:grouping val="standard"/>
        <c:varyColors val="0"/>
        <c:ser>
          <c:idx val="5"/>
          <c:order val="3"/>
          <c:tx>
            <c:strRef>
              <c:f>GR!$I$1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GR!$H$2:$H$75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GR!$I$2:$I$75</c:f>
              <c:numCache>
                <c:formatCode>0%</c:formatCode>
                <c:ptCount val="74"/>
                <c:pt idx="0">
                  <c:v>0.67764705882352938</c:v>
                </c:pt>
                <c:pt idx="1">
                  <c:v>0.67764705882352938</c:v>
                </c:pt>
                <c:pt idx="2">
                  <c:v>0.67764705882352938</c:v>
                </c:pt>
                <c:pt idx="3">
                  <c:v>0.67764705882352938</c:v>
                </c:pt>
                <c:pt idx="4">
                  <c:v>0.67764705882352938</c:v>
                </c:pt>
                <c:pt idx="5">
                  <c:v>0.67764705882352938</c:v>
                </c:pt>
                <c:pt idx="6">
                  <c:v>0.67764705882352938</c:v>
                </c:pt>
                <c:pt idx="7">
                  <c:v>0.67764705882352938</c:v>
                </c:pt>
                <c:pt idx="8">
                  <c:v>0.67764705882352938</c:v>
                </c:pt>
                <c:pt idx="9">
                  <c:v>0.67764705882352938</c:v>
                </c:pt>
                <c:pt idx="10">
                  <c:v>0.67764705882352938</c:v>
                </c:pt>
                <c:pt idx="11">
                  <c:v>0.67764705882352938</c:v>
                </c:pt>
                <c:pt idx="12">
                  <c:v>0.67764705882352938</c:v>
                </c:pt>
                <c:pt idx="13">
                  <c:v>0.67764705882352938</c:v>
                </c:pt>
                <c:pt idx="14">
                  <c:v>0.67764705882352938</c:v>
                </c:pt>
                <c:pt idx="15">
                  <c:v>0.67764705882352938</c:v>
                </c:pt>
                <c:pt idx="16">
                  <c:v>0.67764705882352938</c:v>
                </c:pt>
                <c:pt idx="17">
                  <c:v>0.67764705882352938</c:v>
                </c:pt>
                <c:pt idx="18">
                  <c:v>0.67764705882352938</c:v>
                </c:pt>
                <c:pt idx="19">
                  <c:v>0.67764705882352938</c:v>
                </c:pt>
                <c:pt idx="20">
                  <c:v>0.67764705882352938</c:v>
                </c:pt>
                <c:pt idx="21">
                  <c:v>0.67764705882352938</c:v>
                </c:pt>
                <c:pt idx="22">
                  <c:v>0.67764705882352938</c:v>
                </c:pt>
                <c:pt idx="23">
                  <c:v>0.67764705882352938</c:v>
                </c:pt>
                <c:pt idx="24">
                  <c:v>0.67764705882352938</c:v>
                </c:pt>
                <c:pt idx="25">
                  <c:v>0.67764705882352938</c:v>
                </c:pt>
                <c:pt idx="26">
                  <c:v>0.67764705882352938</c:v>
                </c:pt>
                <c:pt idx="27">
                  <c:v>0.67764705882352938</c:v>
                </c:pt>
                <c:pt idx="28">
                  <c:v>0.67764705882352938</c:v>
                </c:pt>
                <c:pt idx="29">
                  <c:v>0.67764705882352938</c:v>
                </c:pt>
                <c:pt idx="30">
                  <c:v>0.67764705882352938</c:v>
                </c:pt>
                <c:pt idx="31">
                  <c:v>0.67764705882352938</c:v>
                </c:pt>
                <c:pt idx="32">
                  <c:v>0.67764705882352938</c:v>
                </c:pt>
                <c:pt idx="33">
                  <c:v>0.67764705882352938</c:v>
                </c:pt>
                <c:pt idx="34">
                  <c:v>0.67764705882352938</c:v>
                </c:pt>
                <c:pt idx="35">
                  <c:v>0.67764705882352938</c:v>
                </c:pt>
                <c:pt idx="36">
                  <c:v>0.67764705882352938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81-4E0E-BA54-F66880C9D902}"/>
            </c:ext>
          </c:extLst>
        </c:ser>
        <c:ser>
          <c:idx val="6"/>
          <c:order val="4"/>
          <c:tx>
            <c:strRef>
              <c:f>GR!$J$1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GR!$H$2:$H$75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GR!$J$2:$J$75</c:f>
              <c:numCache>
                <c:formatCode>0%</c:formatCode>
                <c:ptCount val="74"/>
                <c:pt idx="0">
                  <c:v>0.66228070175438591</c:v>
                </c:pt>
                <c:pt idx="1">
                  <c:v>0.66228070175438591</c:v>
                </c:pt>
                <c:pt idx="2">
                  <c:v>0.66228070175438591</c:v>
                </c:pt>
                <c:pt idx="3">
                  <c:v>0.66228070175438591</c:v>
                </c:pt>
                <c:pt idx="4">
                  <c:v>0.66228070175438591</c:v>
                </c:pt>
                <c:pt idx="5">
                  <c:v>0.66228070175438591</c:v>
                </c:pt>
                <c:pt idx="6">
                  <c:v>0.66228070175438591</c:v>
                </c:pt>
                <c:pt idx="7">
                  <c:v>0.66228070175438591</c:v>
                </c:pt>
                <c:pt idx="8">
                  <c:v>0.66228070175438591</c:v>
                </c:pt>
                <c:pt idx="9">
                  <c:v>0.66228070175438591</c:v>
                </c:pt>
                <c:pt idx="10">
                  <c:v>0.66228070175438591</c:v>
                </c:pt>
                <c:pt idx="11">
                  <c:v>0.66228070175438591</c:v>
                </c:pt>
                <c:pt idx="12">
                  <c:v>0.66228070175438591</c:v>
                </c:pt>
                <c:pt idx="13">
                  <c:v>0.66228070175438591</c:v>
                </c:pt>
                <c:pt idx="14">
                  <c:v>0.66228070175438591</c:v>
                </c:pt>
                <c:pt idx="15">
                  <c:v>0.66228070175438591</c:v>
                </c:pt>
                <c:pt idx="16">
                  <c:v>0.66228070175438591</c:v>
                </c:pt>
                <c:pt idx="17">
                  <c:v>0.66228070175438591</c:v>
                </c:pt>
                <c:pt idx="18">
                  <c:v>0.66228070175438591</c:v>
                </c:pt>
                <c:pt idx="19">
                  <c:v>0.66228070175438591</c:v>
                </c:pt>
                <c:pt idx="20">
                  <c:v>0.66228070175438591</c:v>
                </c:pt>
                <c:pt idx="21">
                  <c:v>0.66228070175438591</c:v>
                </c:pt>
                <c:pt idx="22">
                  <c:v>0.66228070175438591</c:v>
                </c:pt>
                <c:pt idx="23">
                  <c:v>0.66228070175438591</c:v>
                </c:pt>
                <c:pt idx="24">
                  <c:v>0.66228070175438591</c:v>
                </c:pt>
                <c:pt idx="25">
                  <c:v>0.66228070175438591</c:v>
                </c:pt>
                <c:pt idx="26">
                  <c:v>0.66228070175438591</c:v>
                </c:pt>
                <c:pt idx="27">
                  <c:v>0.66228070175438591</c:v>
                </c:pt>
                <c:pt idx="28">
                  <c:v>0.66228070175438591</c:v>
                </c:pt>
                <c:pt idx="29">
                  <c:v>0.66228070175438591</c:v>
                </c:pt>
                <c:pt idx="30">
                  <c:v>0.66228070175438591</c:v>
                </c:pt>
                <c:pt idx="31">
                  <c:v>0.66228070175438591</c:v>
                </c:pt>
                <c:pt idx="32">
                  <c:v>0.66228070175438591</c:v>
                </c:pt>
                <c:pt idx="33">
                  <c:v>0.66228070175438591</c:v>
                </c:pt>
                <c:pt idx="34">
                  <c:v>0.66228070175438591</c:v>
                </c:pt>
                <c:pt idx="35">
                  <c:v>0.66228070175438591</c:v>
                </c:pt>
                <c:pt idx="36">
                  <c:v>0.66228070175438591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81-4E0E-BA54-F66880C9D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1464"/>
        <c:axId val="1005855064"/>
      </c:lineChart>
      <c:catAx>
        <c:axId val="100585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5064"/>
        <c:crosses val="autoZero"/>
        <c:auto val="1"/>
        <c:lblAlgn val="ctr"/>
        <c:lblOffset val="100"/>
        <c:noMultiLvlLbl val="0"/>
      </c:catAx>
      <c:valAx>
        <c:axId val="100585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14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tròn vô tâm (GC)-9h/ca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1=38%, Ca 2= 54%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GC!$K$1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GC!$K$2:$K$75</c:f>
              <c:numCache>
                <c:formatCode>0%</c:formatCode>
                <c:ptCount val="74"/>
                <c:pt idx="0">
                  <c:v>0.16167556523800386</c:v>
                </c:pt>
                <c:pt idx="1">
                  <c:v>0.12839104577679003</c:v>
                </c:pt>
                <c:pt idx="2">
                  <c:v>0.2481571361839332</c:v>
                </c:pt>
                <c:pt idx="3">
                  <c:v>0.22844057971014492</c:v>
                </c:pt>
                <c:pt idx="4">
                  <c:v>0.27819658522357588</c:v>
                </c:pt>
                <c:pt idx="5">
                  <c:v>0.2034812590368146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0.24756606397774686</c:v>
                </c:pt>
                <c:pt idx="13">
                  <c:v>0.1991672449687717</c:v>
                </c:pt>
                <c:pt idx="14">
                  <c:v>0.19471488178025034</c:v>
                </c:pt>
                <c:pt idx="15">
                  <c:v>0.14384989576094509</c:v>
                </c:pt>
                <c:pt idx="16">
                  <c:v>0.19401947148817802</c:v>
                </c:pt>
                <c:pt idx="17">
                  <c:v>0.18485059068797777</c:v>
                </c:pt>
                <c:pt idx="18">
                  <c:v>0.20653685674547984</c:v>
                </c:pt>
                <c:pt idx="19">
                  <c:v>0.15496872828353023</c:v>
                </c:pt>
                <c:pt idx="20">
                  <c:v>0.25799721835883171</c:v>
                </c:pt>
                <c:pt idx="21">
                  <c:v>0.1474269819193324</c:v>
                </c:pt>
                <c:pt idx="22">
                  <c:v>0.20931849791376914</c:v>
                </c:pt>
                <c:pt idx="23">
                  <c:v>0.36091794158553547</c:v>
                </c:pt>
                <c:pt idx="24">
                  <c:v>0</c:v>
                </c:pt>
                <c:pt idx="25">
                  <c:v>0</c:v>
                </c:pt>
                <c:pt idx="26">
                  <c:v>0.19805420430854762</c:v>
                </c:pt>
                <c:pt idx="27">
                  <c:v>0.28075052119527449</c:v>
                </c:pt>
                <c:pt idx="28">
                  <c:v>0.21403752605976373</c:v>
                </c:pt>
                <c:pt idx="29">
                  <c:v>0.27468706536856746</c:v>
                </c:pt>
                <c:pt idx="30">
                  <c:v>0.2211404728789986</c:v>
                </c:pt>
                <c:pt idx="31">
                  <c:v>0.23974982626824184</c:v>
                </c:pt>
                <c:pt idx="32">
                  <c:v>0.23296244784422809</c:v>
                </c:pt>
                <c:pt idx="33">
                  <c:v>0.23991655076495133</c:v>
                </c:pt>
                <c:pt idx="34">
                  <c:v>0.20097357440890126</c:v>
                </c:pt>
                <c:pt idx="35">
                  <c:v>0.27588603196664352</c:v>
                </c:pt>
                <c:pt idx="36">
                  <c:v>0.20807237299930412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0-4B2E-BCD0-25BC4D497E98}"/>
            </c:ext>
          </c:extLst>
        </c:ser>
        <c:ser>
          <c:idx val="3"/>
          <c:order val="1"/>
          <c:tx>
            <c:strRef>
              <c:f>GC!$L$1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GC!$L$2:$L$75</c:f>
              <c:numCache>
                <c:formatCode>0%</c:formatCode>
                <c:ptCount val="74"/>
                <c:pt idx="0">
                  <c:v>0.1654795633868</c:v>
                </c:pt>
                <c:pt idx="1">
                  <c:v>0.12169896825298288</c:v>
                </c:pt>
                <c:pt idx="2">
                  <c:v>0.20964783356689567</c:v>
                </c:pt>
                <c:pt idx="3">
                  <c:v>0.19518840579710145</c:v>
                </c:pt>
                <c:pt idx="4">
                  <c:v>0.15990217854658859</c:v>
                </c:pt>
                <c:pt idx="5">
                  <c:v>0.13029696363029697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0.11126564673157163</c:v>
                </c:pt>
                <c:pt idx="13">
                  <c:v>0.11172796668979876</c:v>
                </c:pt>
                <c:pt idx="14">
                  <c:v>0.16411682892906815</c:v>
                </c:pt>
                <c:pt idx="15">
                  <c:v>0.16052814454482278</c:v>
                </c:pt>
                <c:pt idx="16">
                  <c:v>0.16411682892906815</c:v>
                </c:pt>
                <c:pt idx="17">
                  <c:v>0.12091730368311328</c:v>
                </c:pt>
                <c:pt idx="18">
                  <c:v>0.15229485396383866</c:v>
                </c:pt>
                <c:pt idx="19">
                  <c:v>0.15149409312022238</c:v>
                </c:pt>
                <c:pt idx="20">
                  <c:v>0.10083449235048679</c:v>
                </c:pt>
                <c:pt idx="21">
                  <c:v>0.15716272600834491</c:v>
                </c:pt>
                <c:pt idx="22">
                  <c:v>0.13351877607788595</c:v>
                </c:pt>
                <c:pt idx="23">
                  <c:v>0.2948539638386648</c:v>
                </c:pt>
                <c:pt idx="24">
                  <c:v>0</c:v>
                </c:pt>
                <c:pt idx="25">
                  <c:v>0</c:v>
                </c:pt>
                <c:pt idx="26">
                  <c:v>0.16052814454482278</c:v>
                </c:pt>
                <c:pt idx="27">
                  <c:v>0.10493398193189715</c:v>
                </c:pt>
                <c:pt idx="28">
                  <c:v>0.14384989576094509</c:v>
                </c:pt>
                <c:pt idx="29">
                  <c:v>0.10987482614742698</c:v>
                </c:pt>
                <c:pt idx="30">
                  <c:v>0.13143254520166897</c:v>
                </c:pt>
                <c:pt idx="31">
                  <c:v>0.10493398193189715</c:v>
                </c:pt>
                <c:pt idx="32">
                  <c:v>0.1258692628650904</c:v>
                </c:pt>
                <c:pt idx="33">
                  <c:v>0.14603616133518776</c:v>
                </c:pt>
                <c:pt idx="34">
                  <c:v>0.15716272600834491</c:v>
                </c:pt>
                <c:pt idx="35">
                  <c:v>0.11049339819318972</c:v>
                </c:pt>
                <c:pt idx="36">
                  <c:v>0.13987473903966596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0-4B2E-BCD0-25BC4D497E98}"/>
            </c:ext>
          </c:extLst>
        </c:ser>
        <c:ser>
          <c:idx val="4"/>
          <c:order val="2"/>
          <c:tx>
            <c:strRef>
              <c:f>GC!$M$1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GC!$M$2:$M$75</c:f>
              <c:numCache>
                <c:formatCode>0%</c:formatCode>
                <c:ptCount val="74"/>
                <c:pt idx="0">
                  <c:v>0.67284487137519611</c:v>
                </c:pt>
                <c:pt idx="1">
                  <c:v>0.74990998597022707</c:v>
                </c:pt>
                <c:pt idx="2">
                  <c:v>0.54219503024917115</c:v>
                </c:pt>
                <c:pt idx="3">
                  <c:v>0.57637101449275363</c:v>
                </c:pt>
                <c:pt idx="4">
                  <c:v>0.56190123622983557</c:v>
                </c:pt>
                <c:pt idx="5">
                  <c:v>0.66622177733288845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0.64116828929068148</c:v>
                </c:pt>
                <c:pt idx="13">
                  <c:v>0.68910478834142952</c:v>
                </c:pt>
                <c:pt idx="14">
                  <c:v>0.64116828929068148</c:v>
                </c:pt>
                <c:pt idx="15">
                  <c:v>0.69562195969423213</c:v>
                </c:pt>
                <c:pt idx="16">
                  <c:v>0.6418636995827538</c:v>
                </c:pt>
                <c:pt idx="17">
                  <c:v>0.69423210562890891</c:v>
                </c:pt>
                <c:pt idx="18">
                  <c:v>0.64116828929068148</c:v>
                </c:pt>
                <c:pt idx="19">
                  <c:v>0.69353717859624742</c:v>
                </c:pt>
                <c:pt idx="20">
                  <c:v>0.64116828929068148</c:v>
                </c:pt>
                <c:pt idx="21">
                  <c:v>0.69541029207232263</c:v>
                </c:pt>
                <c:pt idx="22">
                  <c:v>0.65716272600834491</c:v>
                </c:pt>
                <c:pt idx="23">
                  <c:v>0.34422809457579973</c:v>
                </c:pt>
                <c:pt idx="24">
                  <c:v>1</c:v>
                </c:pt>
                <c:pt idx="25">
                  <c:v>1</c:v>
                </c:pt>
                <c:pt idx="26">
                  <c:v>0.64141765114662963</c:v>
                </c:pt>
                <c:pt idx="27">
                  <c:v>0.61431549687282838</c:v>
                </c:pt>
                <c:pt idx="28">
                  <c:v>0.64211257817929113</c:v>
                </c:pt>
                <c:pt idx="29">
                  <c:v>0.6154381084840056</c:v>
                </c:pt>
                <c:pt idx="30">
                  <c:v>0.64742698191933246</c:v>
                </c:pt>
                <c:pt idx="31">
                  <c:v>0.655316191799861</c:v>
                </c:pt>
                <c:pt idx="32">
                  <c:v>0.64116828929068148</c:v>
                </c:pt>
                <c:pt idx="33">
                  <c:v>0.61404728789986096</c:v>
                </c:pt>
                <c:pt idx="34">
                  <c:v>0.6418636995827538</c:v>
                </c:pt>
                <c:pt idx="35">
                  <c:v>0.61362056984016677</c:v>
                </c:pt>
                <c:pt idx="36">
                  <c:v>0.65205288796102989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0-4B2E-BCD0-25BC4D497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36984"/>
        <c:axId val="1005739864"/>
      </c:barChart>
      <c:lineChart>
        <c:grouping val="standard"/>
        <c:varyColors val="0"/>
        <c:ser>
          <c:idx val="5"/>
          <c:order val="3"/>
          <c:tx>
            <c:strRef>
              <c:f>GC!$I$1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GC!$I$2:$I$75</c:f>
              <c:numCache>
                <c:formatCode>0%</c:formatCode>
                <c:ptCount val="74"/>
                <c:pt idx="0">
                  <c:v>0.24411764705882349</c:v>
                </c:pt>
                <c:pt idx="1">
                  <c:v>0.24411764705882349</c:v>
                </c:pt>
                <c:pt idx="2">
                  <c:v>0.24411764705882349</c:v>
                </c:pt>
                <c:pt idx="3">
                  <c:v>0.24411764705882349</c:v>
                </c:pt>
                <c:pt idx="4">
                  <c:v>0.24411764705882349</c:v>
                </c:pt>
                <c:pt idx="5">
                  <c:v>0.24411764705882349</c:v>
                </c:pt>
                <c:pt idx="6">
                  <c:v>0.24411764705882349</c:v>
                </c:pt>
                <c:pt idx="7">
                  <c:v>0.24411764705882349</c:v>
                </c:pt>
                <c:pt idx="8">
                  <c:v>0.24411764705882349</c:v>
                </c:pt>
                <c:pt idx="9">
                  <c:v>0.24411764705882349</c:v>
                </c:pt>
                <c:pt idx="10">
                  <c:v>0.24411764705882349</c:v>
                </c:pt>
                <c:pt idx="11">
                  <c:v>0.24411764705882349</c:v>
                </c:pt>
                <c:pt idx="12">
                  <c:v>0.24411764705882349</c:v>
                </c:pt>
                <c:pt idx="13">
                  <c:v>0.24411764705882349</c:v>
                </c:pt>
                <c:pt idx="14">
                  <c:v>0.24411764705882349</c:v>
                </c:pt>
                <c:pt idx="15">
                  <c:v>0.24411764705882349</c:v>
                </c:pt>
                <c:pt idx="16">
                  <c:v>0.24411764705882349</c:v>
                </c:pt>
                <c:pt idx="17">
                  <c:v>0.24411764705882349</c:v>
                </c:pt>
                <c:pt idx="18">
                  <c:v>0.24411764705882349</c:v>
                </c:pt>
                <c:pt idx="19">
                  <c:v>0.24411764705882349</c:v>
                </c:pt>
                <c:pt idx="20">
                  <c:v>0.24411764705882349</c:v>
                </c:pt>
                <c:pt idx="21">
                  <c:v>0.24411764705882349</c:v>
                </c:pt>
                <c:pt idx="22">
                  <c:v>0.24411764705882349</c:v>
                </c:pt>
                <c:pt idx="23">
                  <c:v>0.24411764705882349</c:v>
                </c:pt>
                <c:pt idx="24">
                  <c:v>0.24411764705882349</c:v>
                </c:pt>
                <c:pt idx="25">
                  <c:v>0.24411764705882349</c:v>
                </c:pt>
                <c:pt idx="26">
                  <c:v>0.24411764705882349</c:v>
                </c:pt>
                <c:pt idx="27">
                  <c:v>0.24411764705882349</c:v>
                </c:pt>
                <c:pt idx="28">
                  <c:v>0.24411764705882349</c:v>
                </c:pt>
                <c:pt idx="29">
                  <c:v>0.24411764705882349</c:v>
                </c:pt>
                <c:pt idx="30">
                  <c:v>0.24411764705882349</c:v>
                </c:pt>
                <c:pt idx="31">
                  <c:v>0.24411764705882349</c:v>
                </c:pt>
                <c:pt idx="32">
                  <c:v>0.24411764705882349</c:v>
                </c:pt>
                <c:pt idx="33">
                  <c:v>0.24411764705882349</c:v>
                </c:pt>
                <c:pt idx="34">
                  <c:v>0.24411764705882349</c:v>
                </c:pt>
                <c:pt idx="35">
                  <c:v>0.24411764705882349</c:v>
                </c:pt>
                <c:pt idx="36">
                  <c:v>0.24411764705882349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0-4B2E-BCD0-25BC4D497E98}"/>
            </c:ext>
          </c:extLst>
        </c:ser>
        <c:ser>
          <c:idx val="6"/>
          <c:order val="4"/>
          <c:tx>
            <c:strRef>
              <c:f>GC!$J$1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GC!$J$2:$J$75</c:f>
              <c:numCache>
                <c:formatCode>0%</c:formatCode>
                <c:ptCount val="74"/>
                <c:pt idx="0">
                  <c:v>0.25118421052631579</c:v>
                </c:pt>
                <c:pt idx="1">
                  <c:v>0.25118421052631579</c:v>
                </c:pt>
                <c:pt idx="2">
                  <c:v>0.25118421052631579</c:v>
                </c:pt>
                <c:pt idx="3">
                  <c:v>0.25118421052631579</c:v>
                </c:pt>
                <c:pt idx="4">
                  <c:v>0.25118421052631579</c:v>
                </c:pt>
                <c:pt idx="5">
                  <c:v>0.25118421052631579</c:v>
                </c:pt>
                <c:pt idx="6">
                  <c:v>0.25118421052631579</c:v>
                </c:pt>
                <c:pt idx="7">
                  <c:v>0.25118421052631579</c:v>
                </c:pt>
                <c:pt idx="8">
                  <c:v>0.25118421052631579</c:v>
                </c:pt>
                <c:pt idx="9">
                  <c:v>0.25118421052631579</c:v>
                </c:pt>
                <c:pt idx="10">
                  <c:v>0.25118421052631579</c:v>
                </c:pt>
                <c:pt idx="11">
                  <c:v>0.25118421052631579</c:v>
                </c:pt>
                <c:pt idx="12">
                  <c:v>0.25118421052631579</c:v>
                </c:pt>
                <c:pt idx="13">
                  <c:v>0.25118421052631579</c:v>
                </c:pt>
                <c:pt idx="14">
                  <c:v>0.25118421052631579</c:v>
                </c:pt>
                <c:pt idx="15">
                  <c:v>0.25118421052631579</c:v>
                </c:pt>
                <c:pt idx="16">
                  <c:v>0.25118421052631579</c:v>
                </c:pt>
                <c:pt idx="17">
                  <c:v>0.25118421052631579</c:v>
                </c:pt>
                <c:pt idx="18">
                  <c:v>0.25118421052631579</c:v>
                </c:pt>
                <c:pt idx="19">
                  <c:v>0.25118421052631579</c:v>
                </c:pt>
                <c:pt idx="20">
                  <c:v>0.25118421052631579</c:v>
                </c:pt>
                <c:pt idx="21">
                  <c:v>0.25118421052631579</c:v>
                </c:pt>
                <c:pt idx="22">
                  <c:v>0.25118421052631579</c:v>
                </c:pt>
                <c:pt idx="23">
                  <c:v>0.25118421052631579</c:v>
                </c:pt>
                <c:pt idx="24">
                  <c:v>0.25118421052631579</c:v>
                </c:pt>
                <c:pt idx="25">
                  <c:v>0.25118421052631579</c:v>
                </c:pt>
                <c:pt idx="26">
                  <c:v>0.25118421052631579</c:v>
                </c:pt>
                <c:pt idx="27">
                  <c:v>0.25118421052631579</c:v>
                </c:pt>
                <c:pt idx="28">
                  <c:v>0.25118421052631579</c:v>
                </c:pt>
                <c:pt idx="29">
                  <c:v>0.25118421052631579</c:v>
                </c:pt>
                <c:pt idx="30">
                  <c:v>0.25118421052631579</c:v>
                </c:pt>
                <c:pt idx="31">
                  <c:v>0.25118421052631579</c:v>
                </c:pt>
                <c:pt idx="32">
                  <c:v>0.25118421052631579</c:v>
                </c:pt>
                <c:pt idx="33">
                  <c:v>0.25118421052631579</c:v>
                </c:pt>
                <c:pt idx="34">
                  <c:v>0.25118421052631579</c:v>
                </c:pt>
                <c:pt idx="35">
                  <c:v>0.25118421052631579</c:v>
                </c:pt>
                <c:pt idx="36">
                  <c:v>0.25118421052631579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90-4B2E-BCD0-25BC4D497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36984"/>
        <c:axId val="1005739864"/>
      </c:lineChart>
      <c:catAx>
        <c:axId val="100573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9864"/>
        <c:crosses val="autoZero"/>
        <c:auto val="1"/>
        <c:lblAlgn val="ctr"/>
        <c:lblOffset val="100"/>
        <c:noMultiLvlLbl val="0"/>
      </c:catAx>
      <c:valAx>
        <c:axId val="100573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6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Tiện CNC-9h/ca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 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410342893368991"/>
          <c:y val="1.525261696475323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1942326078361097E-2"/>
          <c:y val="0.13674242424242419"/>
          <c:w val="0.94486229292839041"/>
          <c:h val="0.65068778334526367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LN!$K$1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LN!$K$2:$K$75</c:f>
              <c:numCache>
                <c:formatCode>0%</c:formatCode>
                <c:ptCount val="74"/>
                <c:pt idx="0">
                  <c:v>0.50528801609003182</c:v>
                </c:pt>
                <c:pt idx="1">
                  <c:v>0.38390504598558289</c:v>
                </c:pt>
                <c:pt idx="2">
                  <c:v>0.54705922598006795</c:v>
                </c:pt>
                <c:pt idx="3">
                  <c:v>0.53976046236334518</c:v>
                </c:pt>
                <c:pt idx="4">
                  <c:v>0.49896631536369968</c:v>
                </c:pt>
                <c:pt idx="5">
                  <c:v>0.6062632341468851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0.56655052264808359</c:v>
                </c:pt>
                <c:pt idx="13">
                  <c:v>0.69937369519832981</c:v>
                </c:pt>
                <c:pt idx="14">
                  <c:v>0.60487804878048779</c:v>
                </c:pt>
                <c:pt idx="15">
                  <c:v>0.72891986062717773</c:v>
                </c:pt>
                <c:pt idx="16">
                  <c:v>0.55648535564853552</c:v>
                </c:pt>
                <c:pt idx="17">
                  <c:v>0.67085076708507674</c:v>
                </c:pt>
                <c:pt idx="18">
                  <c:v>0.53347280334728031</c:v>
                </c:pt>
                <c:pt idx="19">
                  <c:v>0.6617852161785216</c:v>
                </c:pt>
                <c:pt idx="20">
                  <c:v>0.58536585365853655</c:v>
                </c:pt>
                <c:pt idx="21">
                  <c:v>0.65899581589958156</c:v>
                </c:pt>
                <c:pt idx="22">
                  <c:v>0.49791086350974928</c:v>
                </c:pt>
                <c:pt idx="23">
                  <c:v>0.54627696590118302</c:v>
                </c:pt>
                <c:pt idx="24">
                  <c:v>0.54881450488145045</c:v>
                </c:pt>
                <c:pt idx="25">
                  <c:v>0</c:v>
                </c:pt>
                <c:pt idx="26">
                  <c:v>0.60724233983286913</c:v>
                </c:pt>
                <c:pt idx="27">
                  <c:v>0.69680111265646727</c:v>
                </c:pt>
                <c:pt idx="28">
                  <c:v>0.53899721448467963</c:v>
                </c:pt>
                <c:pt idx="29">
                  <c:v>0.7299930410577592</c:v>
                </c:pt>
                <c:pt idx="30">
                  <c:v>0.60194850382741827</c:v>
                </c:pt>
                <c:pt idx="31">
                  <c:v>0.71707317073170729</c:v>
                </c:pt>
                <c:pt idx="32">
                  <c:v>0.63091922005571033</c:v>
                </c:pt>
                <c:pt idx="33">
                  <c:v>0.89283228949199722</c:v>
                </c:pt>
                <c:pt idx="34">
                  <c:v>0.62743732590529244</c:v>
                </c:pt>
                <c:pt idx="35">
                  <c:v>0.6743375174337517</c:v>
                </c:pt>
                <c:pt idx="36">
                  <c:v>0.58077994428969359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9-4C19-A669-98E79CA6B7E6}"/>
            </c:ext>
          </c:extLst>
        </c:ser>
        <c:ser>
          <c:idx val="3"/>
          <c:order val="1"/>
          <c:tx>
            <c:strRef>
              <c:f>LN!$L$1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LN!$H$2:$H$75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LN!$L$2:$L$75</c:f>
              <c:numCache>
                <c:formatCode>0%</c:formatCode>
                <c:ptCount val="74"/>
                <c:pt idx="0">
                  <c:v>0.16860635917832364</c:v>
                </c:pt>
                <c:pt idx="1">
                  <c:v>0.15042257022122793</c:v>
                </c:pt>
                <c:pt idx="2">
                  <c:v>0.194793495860795</c:v>
                </c:pt>
                <c:pt idx="3">
                  <c:v>0.18283313603973725</c:v>
                </c:pt>
                <c:pt idx="4">
                  <c:v>0.15740095728185882</c:v>
                </c:pt>
                <c:pt idx="5">
                  <c:v>0.17090159366989857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0.15331010452961671</c:v>
                </c:pt>
                <c:pt idx="13">
                  <c:v>8.1419624217118999E-2</c:v>
                </c:pt>
                <c:pt idx="14">
                  <c:v>0.11637630662020906</c:v>
                </c:pt>
                <c:pt idx="15">
                  <c:v>5.2264808362369339E-2</c:v>
                </c:pt>
                <c:pt idx="16">
                  <c:v>0.16248256624825663</c:v>
                </c:pt>
                <c:pt idx="17">
                  <c:v>0.11087866108786611</c:v>
                </c:pt>
                <c:pt idx="18">
                  <c:v>0.18967921896792189</c:v>
                </c:pt>
                <c:pt idx="19">
                  <c:v>0.11854951185495119</c:v>
                </c:pt>
                <c:pt idx="20">
                  <c:v>0.13658536585365855</c:v>
                </c:pt>
                <c:pt idx="21">
                  <c:v>0.2308228730822873</c:v>
                </c:pt>
                <c:pt idx="22">
                  <c:v>0.3426183844011142</c:v>
                </c:pt>
                <c:pt idx="23">
                  <c:v>0.10855949895615867</c:v>
                </c:pt>
                <c:pt idx="24">
                  <c:v>0.11994421199442119</c:v>
                </c:pt>
                <c:pt idx="25">
                  <c:v>0</c:v>
                </c:pt>
                <c:pt idx="26">
                  <c:v>0.11211699164345404</c:v>
                </c:pt>
                <c:pt idx="27">
                  <c:v>0.19193324061196107</c:v>
                </c:pt>
                <c:pt idx="28">
                  <c:v>0.31963788300835655</c:v>
                </c:pt>
                <c:pt idx="29">
                  <c:v>0.15935977731384829</c:v>
                </c:pt>
                <c:pt idx="30">
                  <c:v>0.25748086290883787</c:v>
                </c:pt>
                <c:pt idx="31">
                  <c:v>0.17142857142857143</c:v>
                </c:pt>
                <c:pt idx="32">
                  <c:v>0.22841225626740946</c:v>
                </c:pt>
                <c:pt idx="33">
                  <c:v>0.10716771050800278</c:v>
                </c:pt>
                <c:pt idx="34">
                  <c:v>0.3725626740947075</c:v>
                </c:pt>
                <c:pt idx="35">
                  <c:v>0.17224546722454673</c:v>
                </c:pt>
                <c:pt idx="36">
                  <c:v>0.25696378830083566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9-4C19-A669-98E79CA6B7E6}"/>
            </c:ext>
          </c:extLst>
        </c:ser>
        <c:ser>
          <c:idx val="4"/>
          <c:order val="2"/>
          <c:tx>
            <c:strRef>
              <c:f>LN!$M$1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LN!$M$2:$M$75</c:f>
              <c:numCache>
                <c:formatCode>0%</c:formatCode>
                <c:ptCount val="74"/>
                <c:pt idx="0">
                  <c:v>0.32610562473164451</c:v>
                </c:pt>
                <c:pt idx="1">
                  <c:v>0.46567238379318915</c:v>
                </c:pt>
                <c:pt idx="2">
                  <c:v>0.25814727815913702</c:v>
                </c:pt>
                <c:pt idx="3">
                  <c:v>0.2774064015969176</c:v>
                </c:pt>
                <c:pt idx="4">
                  <c:v>0.34363272735444145</c:v>
                </c:pt>
                <c:pt idx="5">
                  <c:v>0.22283517218321633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0.28013937282229967</c:v>
                </c:pt>
                <c:pt idx="13">
                  <c:v>0.21920668058455114</c:v>
                </c:pt>
                <c:pt idx="14">
                  <c:v>0.27874564459930312</c:v>
                </c:pt>
                <c:pt idx="15">
                  <c:v>0.21881533101045297</c:v>
                </c:pt>
                <c:pt idx="16">
                  <c:v>0.28103207810320779</c:v>
                </c:pt>
                <c:pt idx="17">
                  <c:v>0.21827057182705717</c:v>
                </c:pt>
                <c:pt idx="18">
                  <c:v>0.27684797768479774</c:v>
                </c:pt>
                <c:pt idx="19">
                  <c:v>0.21966527196652719</c:v>
                </c:pt>
                <c:pt idx="20">
                  <c:v>0.2780487804878049</c:v>
                </c:pt>
                <c:pt idx="21">
                  <c:v>0.1101813110181311</c:v>
                </c:pt>
                <c:pt idx="22">
                  <c:v>0.1594707520891365</c:v>
                </c:pt>
                <c:pt idx="23">
                  <c:v>0.3451635351426583</c:v>
                </c:pt>
                <c:pt idx="24">
                  <c:v>0.33124128312412832</c:v>
                </c:pt>
                <c:pt idx="25">
                  <c:v>1</c:v>
                </c:pt>
                <c:pt idx="26">
                  <c:v>0.28064066852367686</c:v>
                </c:pt>
                <c:pt idx="27">
                  <c:v>0.11126564673157163</c:v>
                </c:pt>
                <c:pt idx="28">
                  <c:v>0.14136490250696379</c:v>
                </c:pt>
                <c:pt idx="29">
                  <c:v>0.11064718162839249</c:v>
                </c:pt>
                <c:pt idx="30">
                  <c:v>0.14057063326374392</c:v>
                </c:pt>
                <c:pt idx="31">
                  <c:v>0.11149825783972125</c:v>
                </c:pt>
                <c:pt idx="32">
                  <c:v>0.14066852367688024</c:v>
                </c:pt>
                <c:pt idx="33">
                  <c:v>0</c:v>
                </c:pt>
                <c:pt idx="34">
                  <c:v>0</c:v>
                </c:pt>
                <c:pt idx="35">
                  <c:v>0.15341701534170155</c:v>
                </c:pt>
                <c:pt idx="36">
                  <c:v>0.16225626740947074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9-4C19-A669-98E79CA6B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8664"/>
        <c:axId val="1005862264"/>
      </c:barChart>
      <c:lineChart>
        <c:grouping val="standard"/>
        <c:varyColors val="0"/>
        <c:ser>
          <c:idx val="5"/>
          <c:order val="3"/>
          <c:tx>
            <c:strRef>
              <c:f>LN!$I$1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LN!$H$2:$H$75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LN!$I$2:$I$75</c:f>
              <c:numCache>
                <c:formatCode>0%</c:formatCode>
                <c:ptCount val="74"/>
                <c:pt idx="0">
                  <c:v>0.83294117647058818</c:v>
                </c:pt>
                <c:pt idx="1">
                  <c:v>0.83294117647058818</c:v>
                </c:pt>
                <c:pt idx="2">
                  <c:v>0.83294117647058818</c:v>
                </c:pt>
                <c:pt idx="3">
                  <c:v>0.83294117647058818</c:v>
                </c:pt>
                <c:pt idx="4">
                  <c:v>0.83294117647058818</c:v>
                </c:pt>
                <c:pt idx="5">
                  <c:v>0.83294117647058818</c:v>
                </c:pt>
                <c:pt idx="6">
                  <c:v>0.83294117647058818</c:v>
                </c:pt>
                <c:pt idx="7">
                  <c:v>0.83294117647058818</c:v>
                </c:pt>
                <c:pt idx="8">
                  <c:v>0.83294117647058818</c:v>
                </c:pt>
                <c:pt idx="9">
                  <c:v>0.83294117647058818</c:v>
                </c:pt>
                <c:pt idx="10">
                  <c:v>0.83294117647058818</c:v>
                </c:pt>
                <c:pt idx="11">
                  <c:v>0.83294117647058818</c:v>
                </c:pt>
                <c:pt idx="12">
                  <c:v>0.83294117647058818</c:v>
                </c:pt>
                <c:pt idx="13">
                  <c:v>0.83294117647058818</c:v>
                </c:pt>
                <c:pt idx="14">
                  <c:v>0.83294117647058818</c:v>
                </c:pt>
                <c:pt idx="15">
                  <c:v>0.83294117647058818</c:v>
                </c:pt>
                <c:pt idx="16">
                  <c:v>0.83294117647058818</c:v>
                </c:pt>
                <c:pt idx="17">
                  <c:v>0.83294117647058818</c:v>
                </c:pt>
                <c:pt idx="18">
                  <c:v>0.83294117647058818</c:v>
                </c:pt>
                <c:pt idx="19">
                  <c:v>0.83294117647058818</c:v>
                </c:pt>
                <c:pt idx="20">
                  <c:v>0.83294117647058818</c:v>
                </c:pt>
                <c:pt idx="21">
                  <c:v>0.83294117647058818</c:v>
                </c:pt>
                <c:pt idx="22">
                  <c:v>0.83294117647058818</c:v>
                </c:pt>
                <c:pt idx="23">
                  <c:v>0.83294117647058818</c:v>
                </c:pt>
                <c:pt idx="24">
                  <c:v>0.83294117647058818</c:v>
                </c:pt>
                <c:pt idx="25">
                  <c:v>0.83294117647058818</c:v>
                </c:pt>
                <c:pt idx="26">
                  <c:v>0.83294117647058818</c:v>
                </c:pt>
                <c:pt idx="27">
                  <c:v>0.83294117647058818</c:v>
                </c:pt>
                <c:pt idx="28">
                  <c:v>0.83294117647058818</c:v>
                </c:pt>
                <c:pt idx="29">
                  <c:v>0.83294117647058818</c:v>
                </c:pt>
                <c:pt idx="30">
                  <c:v>0.83294117647058818</c:v>
                </c:pt>
                <c:pt idx="31">
                  <c:v>0.83294117647058818</c:v>
                </c:pt>
                <c:pt idx="32">
                  <c:v>0.83294117647058818</c:v>
                </c:pt>
                <c:pt idx="33">
                  <c:v>0.83294117647058818</c:v>
                </c:pt>
                <c:pt idx="34">
                  <c:v>0.83294117647058818</c:v>
                </c:pt>
                <c:pt idx="35">
                  <c:v>0.83294117647058818</c:v>
                </c:pt>
                <c:pt idx="36">
                  <c:v>0.83294117647058818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19-4C19-A669-98E79CA6B7E6}"/>
            </c:ext>
          </c:extLst>
        </c:ser>
        <c:ser>
          <c:idx val="6"/>
          <c:order val="4"/>
          <c:tx>
            <c:strRef>
              <c:f>LN!$J$1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LN!$H$2:$H$75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LN!$J$2:$J$75</c:f>
              <c:numCache>
                <c:formatCode>0%</c:formatCode>
                <c:ptCount val="74"/>
                <c:pt idx="0">
                  <c:v>0.81978947368421051</c:v>
                </c:pt>
                <c:pt idx="1">
                  <c:v>0.81978947368421051</c:v>
                </c:pt>
                <c:pt idx="2">
                  <c:v>0.81978947368421051</c:v>
                </c:pt>
                <c:pt idx="3">
                  <c:v>0.81978947368421051</c:v>
                </c:pt>
                <c:pt idx="4">
                  <c:v>0.81978947368421051</c:v>
                </c:pt>
                <c:pt idx="5">
                  <c:v>0.81978947368421051</c:v>
                </c:pt>
                <c:pt idx="6">
                  <c:v>0.81978947368421051</c:v>
                </c:pt>
                <c:pt idx="7">
                  <c:v>0.81978947368421051</c:v>
                </c:pt>
                <c:pt idx="8">
                  <c:v>0.81978947368421051</c:v>
                </c:pt>
                <c:pt idx="9">
                  <c:v>0.81978947368421051</c:v>
                </c:pt>
                <c:pt idx="10">
                  <c:v>0.81978947368421051</c:v>
                </c:pt>
                <c:pt idx="11">
                  <c:v>0.81978947368421051</c:v>
                </c:pt>
                <c:pt idx="12">
                  <c:v>0.81978947368421051</c:v>
                </c:pt>
                <c:pt idx="13">
                  <c:v>0.81978947368421051</c:v>
                </c:pt>
                <c:pt idx="14">
                  <c:v>0.81978947368421051</c:v>
                </c:pt>
                <c:pt idx="15">
                  <c:v>0.81978947368421051</c:v>
                </c:pt>
                <c:pt idx="16">
                  <c:v>0.81978947368421051</c:v>
                </c:pt>
                <c:pt idx="17">
                  <c:v>0.81978947368421051</c:v>
                </c:pt>
                <c:pt idx="18">
                  <c:v>0.81978947368421051</c:v>
                </c:pt>
                <c:pt idx="19">
                  <c:v>0.81978947368421051</c:v>
                </c:pt>
                <c:pt idx="20">
                  <c:v>0.81978947368421051</c:v>
                </c:pt>
                <c:pt idx="21">
                  <c:v>0.81978947368421051</c:v>
                </c:pt>
                <c:pt idx="22">
                  <c:v>0.81978947368421051</c:v>
                </c:pt>
                <c:pt idx="23">
                  <c:v>0.81978947368421051</c:v>
                </c:pt>
                <c:pt idx="24">
                  <c:v>0.81978947368421051</c:v>
                </c:pt>
                <c:pt idx="25">
                  <c:v>0.81978947368421051</c:v>
                </c:pt>
                <c:pt idx="26">
                  <c:v>0.81978947368421051</c:v>
                </c:pt>
                <c:pt idx="27">
                  <c:v>0.81978947368421051</c:v>
                </c:pt>
                <c:pt idx="28">
                  <c:v>0.81978947368421051</c:v>
                </c:pt>
                <c:pt idx="29">
                  <c:v>0.81978947368421051</c:v>
                </c:pt>
                <c:pt idx="30">
                  <c:v>0.81978947368421051</c:v>
                </c:pt>
                <c:pt idx="31">
                  <c:v>0.81978947368421051</c:v>
                </c:pt>
                <c:pt idx="32">
                  <c:v>0.81978947368421051</c:v>
                </c:pt>
                <c:pt idx="33">
                  <c:v>0.81978947368421051</c:v>
                </c:pt>
                <c:pt idx="34">
                  <c:v>0.81978947368421051</c:v>
                </c:pt>
                <c:pt idx="35">
                  <c:v>0.81978947368421051</c:v>
                </c:pt>
                <c:pt idx="36">
                  <c:v>0.81978947368421051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19-4C19-A669-98E79CA6B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8664"/>
        <c:axId val="1005862264"/>
      </c:lineChart>
      <c:catAx>
        <c:axId val="10058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62264"/>
        <c:crosses val="autoZero"/>
        <c:auto val="1"/>
        <c:lblAlgn val="ctr"/>
        <c:lblOffset val="100"/>
        <c:noMultiLvlLbl val="0"/>
      </c:catAx>
      <c:valAx>
        <c:axId val="100586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8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551203462195938"/>
          <c:y val="0.92850334049152949"/>
          <c:w val="0.4665766761203653"/>
          <c:h val="6.392090193271295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CNC(MC)-9h/ca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MC!$K$1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MC!$K$2:$K$75</c:f>
              <c:numCache>
                <c:formatCode>0%</c:formatCode>
                <c:ptCount val="74"/>
                <c:pt idx="0">
                  <c:v>0.42920864938299558</c:v>
                </c:pt>
                <c:pt idx="1">
                  <c:v>0.35062080634325571</c:v>
                </c:pt>
                <c:pt idx="2">
                  <c:v>0.47774013020139339</c:v>
                </c:pt>
                <c:pt idx="3">
                  <c:v>0.49881816843231014</c:v>
                </c:pt>
                <c:pt idx="4">
                  <c:v>0.43226691453158028</c:v>
                </c:pt>
                <c:pt idx="5">
                  <c:v>0.49966534042315847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0.48072457036692984</c:v>
                </c:pt>
                <c:pt idx="13">
                  <c:v>0.6548837209302325</c:v>
                </c:pt>
                <c:pt idx="14">
                  <c:v>0.55338904363974006</c:v>
                </c:pt>
                <c:pt idx="15">
                  <c:v>0.59321245932124589</c:v>
                </c:pt>
                <c:pt idx="16">
                  <c:v>0.51672862453531598</c:v>
                </c:pt>
                <c:pt idx="17">
                  <c:v>0.59020979020979025</c:v>
                </c:pt>
                <c:pt idx="18">
                  <c:v>0.37738483015355978</c:v>
                </c:pt>
                <c:pt idx="19">
                  <c:v>0.66247672253258849</c:v>
                </c:pt>
                <c:pt idx="20">
                  <c:v>0.38801115241635686</c:v>
                </c:pt>
                <c:pt idx="21">
                  <c:v>0.64667596466759647</c:v>
                </c:pt>
                <c:pt idx="22">
                  <c:v>0.24408352668213457</c:v>
                </c:pt>
                <c:pt idx="23">
                  <c:v>0.45053413841151879</c:v>
                </c:pt>
                <c:pt idx="24">
                  <c:v>0.30840687412912215</c:v>
                </c:pt>
                <c:pt idx="25">
                  <c:v>0</c:v>
                </c:pt>
                <c:pt idx="26">
                  <c:v>0.40790697674418602</c:v>
                </c:pt>
                <c:pt idx="27">
                  <c:v>0.65768694844403164</c:v>
                </c:pt>
                <c:pt idx="28">
                  <c:v>0.5</c:v>
                </c:pt>
                <c:pt idx="29">
                  <c:v>0.62221189591078063</c:v>
                </c:pt>
                <c:pt idx="30">
                  <c:v>0.52719665271966532</c:v>
                </c:pt>
                <c:pt idx="31">
                  <c:v>0.56724057701256403</c:v>
                </c:pt>
                <c:pt idx="32">
                  <c:v>0.50535132619823175</c:v>
                </c:pt>
                <c:pt idx="33">
                  <c:v>0.60158066015806599</c:v>
                </c:pt>
                <c:pt idx="34">
                  <c:v>0.53903345724907059</c:v>
                </c:pt>
                <c:pt idx="35">
                  <c:v>0.62453531598513012</c:v>
                </c:pt>
                <c:pt idx="36">
                  <c:v>0.47512784751278475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B-46B5-AB6D-083B59AB6731}"/>
            </c:ext>
          </c:extLst>
        </c:ser>
        <c:ser>
          <c:idx val="3"/>
          <c:order val="1"/>
          <c:tx>
            <c:strRef>
              <c:f>MC!$L$1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MC!$H$2:$H$75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MC!$L$2:$L$75</c:f>
              <c:numCache>
                <c:formatCode>0%</c:formatCode>
                <c:ptCount val="74"/>
                <c:pt idx="0">
                  <c:v>0.2728706743650704</c:v>
                </c:pt>
                <c:pt idx="1">
                  <c:v>0.18498950808250877</c:v>
                </c:pt>
                <c:pt idx="2">
                  <c:v>0.31260516998515248</c:v>
                </c:pt>
                <c:pt idx="3">
                  <c:v>0.2953261467641064</c:v>
                </c:pt>
                <c:pt idx="4">
                  <c:v>0.28124672053730715</c:v>
                </c:pt>
                <c:pt idx="5">
                  <c:v>0.31088015468709329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0.23827217835578263</c:v>
                </c:pt>
                <c:pt idx="13">
                  <c:v>0.34511627906976744</c:v>
                </c:pt>
                <c:pt idx="14">
                  <c:v>0.44614670380687094</c:v>
                </c:pt>
                <c:pt idx="15">
                  <c:v>0.30311483031148301</c:v>
                </c:pt>
                <c:pt idx="16">
                  <c:v>0.2950743494423792</c:v>
                </c:pt>
                <c:pt idx="17">
                  <c:v>0.27086247086247084</c:v>
                </c:pt>
                <c:pt idx="18">
                  <c:v>0.4346207538389949</c:v>
                </c:pt>
                <c:pt idx="19">
                  <c:v>0.26256983240223464</c:v>
                </c:pt>
                <c:pt idx="20">
                  <c:v>0.51905204460966547</c:v>
                </c:pt>
                <c:pt idx="21">
                  <c:v>0.27708042770804275</c:v>
                </c:pt>
                <c:pt idx="22">
                  <c:v>0.53967517401392107</c:v>
                </c:pt>
                <c:pt idx="23">
                  <c:v>0.23409196470041801</c:v>
                </c:pt>
                <c:pt idx="24">
                  <c:v>0.26985601486298189</c:v>
                </c:pt>
                <c:pt idx="25">
                  <c:v>0</c:v>
                </c:pt>
                <c:pt idx="26">
                  <c:v>0.31209302325581395</c:v>
                </c:pt>
                <c:pt idx="27">
                  <c:v>0.34231305155596842</c:v>
                </c:pt>
                <c:pt idx="28">
                  <c:v>0.5</c:v>
                </c:pt>
                <c:pt idx="29">
                  <c:v>0.25</c:v>
                </c:pt>
                <c:pt idx="30">
                  <c:v>0.28498372849837283</c:v>
                </c:pt>
                <c:pt idx="31">
                  <c:v>0.3001395998138669</c:v>
                </c:pt>
                <c:pt idx="32">
                  <c:v>0.30898092135877153</c:v>
                </c:pt>
                <c:pt idx="33">
                  <c:v>0.26127382612738259</c:v>
                </c:pt>
                <c:pt idx="34">
                  <c:v>0.26998141263940523</c:v>
                </c:pt>
                <c:pt idx="35">
                  <c:v>0.19563197026022305</c:v>
                </c:pt>
                <c:pt idx="36">
                  <c:v>0.31194793119479314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B-46B5-AB6D-083B59AB6731}"/>
            </c:ext>
          </c:extLst>
        </c:ser>
        <c:ser>
          <c:idx val="4"/>
          <c:order val="2"/>
          <c:tx>
            <c:strRef>
              <c:f>MC!$M$1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MC!$H$2:$H$75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MC!$M$2:$M$75</c:f>
              <c:numCache>
                <c:formatCode>0%</c:formatCode>
                <c:ptCount val="74"/>
                <c:pt idx="0">
                  <c:v>0.29792067625193402</c:v>
                </c:pt>
                <c:pt idx="1">
                  <c:v>0.46438968557423549</c:v>
                </c:pt>
                <c:pt idx="2">
                  <c:v>0.20965469981345414</c:v>
                </c:pt>
                <c:pt idx="3">
                  <c:v>0.20585568480358346</c:v>
                </c:pt>
                <c:pt idx="4">
                  <c:v>0.28648636493111257</c:v>
                </c:pt>
                <c:pt idx="5">
                  <c:v>0.18945450488974827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0.28100325127728748</c:v>
                </c:pt>
                <c:pt idx="13">
                  <c:v>0</c:v>
                </c:pt>
                <c:pt idx="14">
                  <c:v>4.6425255338904364E-4</c:v>
                </c:pt>
                <c:pt idx="15">
                  <c:v>0.10367271036727103</c:v>
                </c:pt>
                <c:pt idx="16">
                  <c:v>0.18819702602230484</c:v>
                </c:pt>
                <c:pt idx="17">
                  <c:v>0.13892773892773894</c:v>
                </c:pt>
                <c:pt idx="18">
                  <c:v>0.18799441600744532</c:v>
                </c:pt>
                <c:pt idx="19">
                  <c:v>7.4953445065176913E-2</c:v>
                </c:pt>
                <c:pt idx="20">
                  <c:v>9.2936802973977689E-2</c:v>
                </c:pt>
                <c:pt idx="21">
                  <c:v>7.6243607624360762E-2</c:v>
                </c:pt>
                <c:pt idx="22">
                  <c:v>0.21624129930394431</c:v>
                </c:pt>
                <c:pt idx="23">
                  <c:v>0.31537389688806317</c:v>
                </c:pt>
                <c:pt idx="24">
                  <c:v>0.42173711100789596</c:v>
                </c:pt>
                <c:pt idx="25">
                  <c:v>1</c:v>
                </c:pt>
                <c:pt idx="26">
                  <c:v>0.28000000000000003</c:v>
                </c:pt>
                <c:pt idx="27">
                  <c:v>0</c:v>
                </c:pt>
                <c:pt idx="28">
                  <c:v>0</c:v>
                </c:pt>
                <c:pt idx="29">
                  <c:v>0.12778810408921934</c:v>
                </c:pt>
                <c:pt idx="30">
                  <c:v>0.18781961878196188</c:v>
                </c:pt>
                <c:pt idx="31">
                  <c:v>0.1326198231735691</c:v>
                </c:pt>
                <c:pt idx="32">
                  <c:v>0.18566775244299674</c:v>
                </c:pt>
                <c:pt idx="33">
                  <c:v>0.13714551371455136</c:v>
                </c:pt>
                <c:pt idx="34">
                  <c:v>0.19098513011152415</c:v>
                </c:pt>
                <c:pt idx="35">
                  <c:v>0.17983271375464685</c:v>
                </c:pt>
                <c:pt idx="36">
                  <c:v>0.21292422129242214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FB-46B5-AB6D-083B59AB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95551600"/>
        <c:axId val="695548000"/>
      </c:barChart>
      <c:lineChart>
        <c:grouping val="standard"/>
        <c:varyColors val="0"/>
        <c:ser>
          <c:idx val="5"/>
          <c:order val="3"/>
          <c:tx>
            <c:strRef>
              <c:f>MC!$I$1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MC!$H$2:$H$75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MC!$I$2:$I$75</c:f>
              <c:numCache>
                <c:formatCode>0%</c:formatCode>
                <c:ptCount val="74"/>
                <c:pt idx="0">
                  <c:v>0.81882352941176473</c:v>
                </c:pt>
                <c:pt idx="1">
                  <c:v>0.81882352941176473</c:v>
                </c:pt>
                <c:pt idx="2">
                  <c:v>0.81882352941176473</c:v>
                </c:pt>
                <c:pt idx="3">
                  <c:v>0.81882352941176473</c:v>
                </c:pt>
                <c:pt idx="4">
                  <c:v>0.81882352941176473</c:v>
                </c:pt>
                <c:pt idx="5">
                  <c:v>0.81882352941176473</c:v>
                </c:pt>
                <c:pt idx="6">
                  <c:v>0.81882352941176473</c:v>
                </c:pt>
                <c:pt idx="7">
                  <c:v>0.81882352941176473</c:v>
                </c:pt>
                <c:pt idx="8">
                  <c:v>0.81882352941176473</c:v>
                </c:pt>
                <c:pt idx="9">
                  <c:v>0.81882352941176473</c:v>
                </c:pt>
                <c:pt idx="10">
                  <c:v>0.81882352941176473</c:v>
                </c:pt>
                <c:pt idx="11">
                  <c:v>0.81882352941176473</c:v>
                </c:pt>
                <c:pt idx="12">
                  <c:v>0.81882352941176473</c:v>
                </c:pt>
                <c:pt idx="13">
                  <c:v>0.81882352941176473</c:v>
                </c:pt>
                <c:pt idx="14">
                  <c:v>0.81882352941176473</c:v>
                </c:pt>
                <c:pt idx="15">
                  <c:v>0.81882352941176473</c:v>
                </c:pt>
                <c:pt idx="16">
                  <c:v>0.81882352941176473</c:v>
                </c:pt>
                <c:pt idx="17">
                  <c:v>0.81882352941176473</c:v>
                </c:pt>
                <c:pt idx="18">
                  <c:v>0.81882352941176473</c:v>
                </c:pt>
                <c:pt idx="19">
                  <c:v>0.81882352941176473</c:v>
                </c:pt>
                <c:pt idx="20">
                  <c:v>0.81882352941176473</c:v>
                </c:pt>
                <c:pt idx="21">
                  <c:v>0.81882352941176473</c:v>
                </c:pt>
                <c:pt idx="22">
                  <c:v>0.81882352941176473</c:v>
                </c:pt>
                <c:pt idx="23">
                  <c:v>0.81882352941176473</c:v>
                </c:pt>
                <c:pt idx="24">
                  <c:v>0.81882352941176473</c:v>
                </c:pt>
                <c:pt idx="25">
                  <c:v>0.81882352941176473</c:v>
                </c:pt>
                <c:pt idx="26">
                  <c:v>0.81882352941176473</c:v>
                </c:pt>
                <c:pt idx="27">
                  <c:v>0.81882352941176473</c:v>
                </c:pt>
                <c:pt idx="28">
                  <c:v>0.81882352941176473</c:v>
                </c:pt>
                <c:pt idx="29">
                  <c:v>0.81882352941176473</c:v>
                </c:pt>
                <c:pt idx="30">
                  <c:v>0.81882352941176473</c:v>
                </c:pt>
                <c:pt idx="31">
                  <c:v>0.81882352941176473</c:v>
                </c:pt>
                <c:pt idx="32">
                  <c:v>0.81882352941176473</c:v>
                </c:pt>
                <c:pt idx="33">
                  <c:v>0.81882352941176473</c:v>
                </c:pt>
                <c:pt idx="34">
                  <c:v>0.81882352941176473</c:v>
                </c:pt>
                <c:pt idx="35">
                  <c:v>0.81882352941176473</c:v>
                </c:pt>
                <c:pt idx="36">
                  <c:v>0.81882352941176473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B-46B5-AB6D-083B59AB6731}"/>
            </c:ext>
          </c:extLst>
        </c:ser>
        <c:ser>
          <c:idx val="6"/>
          <c:order val="4"/>
          <c:tx>
            <c:strRef>
              <c:f>MC!$J$1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MC!$H$2:$H$75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MC!$J$2:$J$75</c:f>
              <c:numCache>
                <c:formatCode>0%</c:formatCode>
                <c:ptCount val="74"/>
                <c:pt idx="0">
                  <c:v>0.80589473684210522</c:v>
                </c:pt>
                <c:pt idx="1">
                  <c:v>0.80589473684210522</c:v>
                </c:pt>
                <c:pt idx="2">
                  <c:v>0.80589473684210522</c:v>
                </c:pt>
                <c:pt idx="3">
                  <c:v>0.80589473684210522</c:v>
                </c:pt>
                <c:pt idx="4">
                  <c:v>0.80589473684210522</c:v>
                </c:pt>
                <c:pt idx="5">
                  <c:v>0.80589473684210522</c:v>
                </c:pt>
                <c:pt idx="6">
                  <c:v>0.80589473684210522</c:v>
                </c:pt>
                <c:pt idx="7">
                  <c:v>0.80589473684210522</c:v>
                </c:pt>
                <c:pt idx="8">
                  <c:v>0.80589473684210522</c:v>
                </c:pt>
                <c:pt idx="9">
                  <c:v>0.80589473684210522</c:v>
                </c:pt>
                <c:pt idx="10">
                  <c:v>0.80589473684210522</c:v>
                </c:pt>
                <c:pt idx="11">
                  <c:v>0.80589473684210522</c:v>
                </c:pt>
                <c:pt idx="12">
                  <c:v>0.80589473684210522</c:v>
                </c:pt>
                <c:pt idx="13">
                  <c:v>0.80589473684210522</c:v>
                </c:pt>
                <c:pt idx="14">
                  <c:v>0.80589473684210522</c:v>
                </c:pt>
                <c:pt idx="15">
                  <c:v>0.80589473684210522</c:v>
                </c:pt>
                <c:pt idx="16">
                  <c:v>0.80589473684210522</c:v>
                </c:pt>
                <c:pt idx="17">
                  <c:v>0.80589473684210522</c:v>
                </c:pt>
                <c:pt idx="18">
                  <c:v>0.80589473684210522</c:v>
                </c:pt>
                <c:pt idx="19">
                  <c:v>0.80589473684210522</c:v>
                </c:pt>
                <c:pt idx="20">
                  <c:v>0.80589473684210522</c:v>
                </c:pt>
                <c:pt idx="21">
                  <c:v>0.80589473684210522</c:v>
                </c:pt>
                <c:pt idx="22">
                  <c:v>0.80589473684210522</c:v>
                </c:pt>
                <c:pt idx="23">
                  <c:v>0.80589473684210522</c:v>
                </c:pt>
                <c:pt idx="24">
                  <c:v>0.80589473684210522</c:v>
                </c:pt>
                <c:pt idx="25">
                  <c:v>0.80589473684210522</c:v>
                </c:pt>
                <c:pt idx="26">
                  <c:v>0.80589473684210522</c:v>
                </c:pt>
                <c:pt idx="27">
                  <c:v>0.80589473684210522</c:v>
                </c:pt>
                <c:pt idx="28">
                  <c:v>0.80589473684210522</c:v>
                </c:pt>
                <c:pt idx="29">
                  <c:v>0.80589473684210522</c:v>
                </c:pt>
                <c:pt idx="30">
                  <c:v>0.80589473684210522</c:v>
                </c:pt>
                <c:pt idx="31">
                  <c:v>0.80589473684210522</c:v>
                </c:pt>
                <c:pt idx="32">
                  <c:v>0.80589473684210522</c:v>
                </c:pt>
                <c:pt idx="33">
                  <c:v>0.80589473684210522</c:v>
                </c:pt>
                <c:pt idx="34">
                  <c:v>0.80589473684210522</c:v>
                </c:pt>
                <c:pt idx="35">
                  <c:v>0.80589473684210522</c:v>
                </c:pt>
                <c:pt idx="36">
                  <c:v>0.80589473684210522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B-46B5-AB6D-083B59AB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51600"/>
        <c:axId val="695548000"/>
      </c:lineChart>
      <c:catAx>
        <c:axId val="69555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48000"/>
        <c:crosses val="autoZero"/>
        <c:auto val="1"/>
        <c:lblAlgn val="ctr"/>
        <c:lblOffset val="100"/>
        <c:noMultiLvlLbl val="0"/>
      </c:catAx>
      <c:valAx>
        <c:axId val="6955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16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vạn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năng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(MA)-9h/ca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1=30%, Ca 2= 42%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308193143998728"/>
          <c:y val="4.9962881906237371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4820370370370367E-2"/>
          <c:y val="0.12968255555026861"/>
          <c:w val="0.92240469135802472"/>
          <c:h val="0.59390130245758366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MA!$K$1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MA!$K$2:$K$75</c:f>
              <c:numCache>
                <c:formatCode>0%</c:formatCode>
                <c:ptCount val="74"/>
                <c:pt idx="0">
                  <c:v>0.28675966844589662</c:v>
                </c:pt>
                <c:pt idx="1">
                  <c:v>0.20448487657897788</c:v>
                </c:pt>
                <c:pt idx="2">
                  <c:v>0.3069794997607419</c:v>
                </c:pt>
                <c:pt idx="3">
                  <c:v>0.30016697846287049</c:v>
                </c:pt>
                <c:pt idx="4">
                  <c:v>0.31332300252281386</c:v>
                </c:pt>
                <c:pt idx="5">
                  <c:v>0.3409736270670552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0.36983758700696057</c:v>
                </c:pt>
                <c:pt idx="13">
                  <c:v>0.32127955493741306</c:v>
                </c:pt>
                <c:pt idx="14">
                  <c:v>0.37529029261495589</c:v>
                </c:pt>
                <c:pt idx="15">
                  <c:v>0.29545454545454547</c:v>
                </c:pt>
                <c:pt idx="16">
                  <c:v>0.35097493036211697</c:v>
                </c:pt>
                <c:pt idx="17">
                  <c:v>0.47607988852763583</c:v>
                </c:pt>
                <c:pt idx="18">
                  <c:v>0.26125290023201858</c:v>
                </c:pt>
                <c:pt idx="19">
                  <c:v>0.33132250580046402</c:v>
                </c:pt>
                <c:pt idx="20">
                  <c:v>0.26193787668057489</c:v>
                </c:pt>
                <c:pt idx="21">
                  <c:v>0.38597306084533212</c:v>
                </c:pt>
                <c:pt idx="22">
                  <c:v>0.349721706864564</c:v>
                </c:pt>
                <c:pt idx="23">
                  <c:v>0.40194714881780252</c:v>
                </c:pt>
                <c:pt idx="24">
                  <c:v>0</c:v>
                </c:pt>
                <c:pt idx="25">
                  <c:v>0</c:v>
                </c:pt>
                <c:pt idx="26">
                  <c:v>0.44686774941995361</c:v>
                </c:pt>
                <c:pt idx="27">
                  <c:v>0.45868152274837509</c:v>
                </c:pt>
                <c:pt idx="28">
                  <c:v>0.50394797956339987</c:v>
                </c:pt>
                <c:pt idx="29">
                  <c:v>0.36815227483751162</c:v>
                </c:pt>
                <c:pt idx="30">
                  <c:v>0.3878309335810497</c:v>
                </c:pt>
                <c:pt idx="31">
                  <c:v>0.35452436194895592</c:v>
                </c:pt>
                <c:pt idx="32">
                  <c:v>0.42254174397031541</c:v>
                </c:pt>
                <c:pt idx="33">
                  <c:v>0.35485369252206223</c:v>
                </c:pt>
                <c:pt idx="34">
                  <c:v>0.45850718590635142</c:v>
                </c:pt>
                <c:pt idx="35">
                  <c:v>0.29526462395543174</c:v>
                </c:pt>
                <c:pt idx="36">
                  <c:v>0.29406307977736551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6-48D3-B5F5-D6015843CF3A}"/>
            </c:ext>
          </c:extLst>
        </c:ser>
        <c:ser>
          <c:idx val="3"/>
          <c:order val="1"/>
          <c:tx>
            <c:strRef>
              <c:f>MA!$L$1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MA!$H$2:$H$75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MA!$L$2:$L$75</c:f>
              <c:numCache>
                <c:formatCode>0%</c:formatCode>
                <c:ptCount val="74"/>
                <c:pt idx="0">
                  <c:v>0.26251044576109134</c:v>
                </c:pt>
                <c:pt idx="1">
                  <c:v>0.19157161068158865</c:v>
                </c:pt>
                <c:pt idx="2">
                  <c:v>0.26010010861556926</c:v>
                </c:pt>
                <c:pt idx="3">
                  <c:v>0.25786576786901466</c:v>
                </c:pt>
                <c:pt idx="4">
                  <c:v>0.25648108638204536</c:v>
                </c:pt>
                <c:pt idx="5">
                  <c:v>0.28150925186986137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0.3480278422273782</c:v>
                </c:pt>
                <c:pt idx="13">
                  <c:v>0.40611961057023643</c:v>
                </c:pt>
                <c:pt idx="14">
                  <c:v>0.33163028332559219</c:v>
                </c:pt>
                <c:pt idx="15">
                  <c:v>0.39100185528756959</c:v>
                </c:pt>
                <c:pt idx="16">
                  <c:v>0.36536675951717734</c:v>
                </c:pt>
                <c:pt idx="17">
                  <c:v>0.28843474222015791</c:v>
                </c:pt>
                <c:pt idx="18">
                  <c:v>0.21577726218097448</c:v>
                </c:pt>
                <c:pt idx="19">
                  <c:v>0.39535962877030162</c:v>
                </c:pt>
                <c:pt idx="20">
                  <c:v>0.21279554937413073</c:v>
                </c:pt>
                <c:pt idx="21">
                  <c:v>0.32698560148629818</c:v>
                </c:pt>
                <c:pt idx="22">
                  <c:v>0.30844155844155846</c:v>
                </c:pt>
                <c:pt idx="23">
                  <c:v>0.23875753361149746</c:v>
                </c:pt>
                <c:pt idx="24">
                  <c:v>0</c:v>
                </c:pt>
                <c:pt idx="25">
                  <c:v>0</c:v>
                </c:pt>
                <c:pt idx="26">
                  <c:v>0.25846867749419955</c:v>
                </c:pt>
                <c:pt idx="27">
                  <c:v>0.308727948003714</c:v>
                </c:pt>
                <c:pt idx="28">
                  <c:v>0.20390153274500697</c:v>
                </c:pt>
                <c:pt idx="29">
                  <c:v>0.31476323119777161</c:v>
                </c:pt>
                <c:pt idx="30">
                  <c:v>0.31583836507199259</c:v>
                </c:pt>
                <c:pt idx="31">
                  <c:v>0.33178654292343385</c:v>
                </c:pt>
                <c:pt idx="32">
                  <c:v>0.2847866419294991</c:v>
                </c:pt>
                <c:pt idx="33">
                  <c:v>0.41151881096144916</c:v>
                </c:pt>
                <c:pt idx="34">
                  <c:v>0.23226703755215578</c:v>
                </c:pt>
                <c:pt idx="35">
                  <c:v>0.38997214484679665</c:v>
                </c:pt>
                <c:pt idx="36">
                  <c:v>0.15862708719851576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6-48D3-B5F5-D6015843CF3A}"/>
            </c:ext>
          </c:extLst>
        </c:ser>
        <c:ser>
          <c:idx val="4"/>
          <c:order val="2"/>
          <c:tx>
            <c:strRef>
              <c:f>MA!$M$1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MA!$H$2:$H$75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MA!$M$2:$M$75</c:f>
              <c:numCache>
                <c:formatCode>0%</c:formatCode>
                <c:ptCount val="74"/>
                <c:pt idx="0">
                  <c:v>0.45072988579301204</c:v>
                </c:pt>
                <c:pt idx="1">
                  <c:v>0.60394351273943347</c:v>
                </c:pt>
                <c:pt idx="2">
                  <c:v>0.43292039162368884</c:v>
                </c:pt>
                <c:pt idx="3">
                  <c:v>0.44196725366811485</c:v>
                </c:pt>
                <c:pt idx="4">
                  <c:v>0.43019591109514077</c:v>
                </c:pt>
                <c:pt idx="5">
                  <c:v>0.37751712106308344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0.28213457076566123</c:v>
                </c:pt>
                <c:pt idx="13">
                  <c:v>0.27260083449235051</c:v>
                </c:pt>
                <c:pt idx="14">
                  <c:v>0.29307942405945192</c:v>
                </c:pt>
                <c:pt idx="15">
                  <c:v>0.313543599257885</c:v>
                </c:pt>
                <c:pt idx="16">
                  <c:v>0.28365831012070564</c:v>
                </c:pt>
                <c:pt idx="17">
                  <c:v>0.23548536925220623</c:v>
                </c:pt>
                <c:pt idx="18">
                  <c:v>0.52296983758700699</c:v>
                </c:pt>
                <c:pt idx="19">
                  <c:v>0.27331786542923436</c:v>
                </c:pt>
                <c:pt idx="20">
                  <c:v>0.52526657394529441</c:v>
                </c:pt>
                <c:pt idx="21">
                  <c:v>0.2870413376683697</c:v>
                </c:pt>
                <c:pt idx="22">
                  <c:v>0.34183673469387754</c:v>
                </c:pt>
                <c:pt idx="23">
                  <c:v>0.35929531757070005</c:v>
                </c:pt>
                <c:pt idx="24">
                  <c:v>1</c:v>
                </c:pt>
                <c:pt idx="25">
                  <c:v>1</c:v>
                </c:pt>
                <c:pt idx="26">
                  <c:v>0.29466357308584684</c:v>
                </c:pt>
                <c:pt idx="27">
                  <c:v>0.23259052924791088</c:v>
                </c:pt>
                <c:pt idx="28">
                  <c:v>0.29215048769159313</c:v>
                </c:pt>
                <c:pt idx="29">
                  <c:v>0.31708449396471683</c:v>
                </c:pt>
                <c:pt idx="30">
                  <c:v>0.29633070134695771</c:v>
                </c:pt>
                <c:pt idx="31">
                  <c:v>0.31368909512761023</c:v>
                </c:pt>
                <c:pt idx="32">
                  <c:v>0.29267161410018555</c:v>
                </c:pt>
                <c:pt idx="33">
                  <c:v>0.23362749651648862</c:v>
                </c:pt>
                <c:pt idx="34">
                  <c:v>0.3092257765414928</c:v>
                </c:pt>
                <c:pt idx="35">
                  <c:v>0.31476323119777161</c:v>
                </c:pt>
                <c:pt idx="36">
                  <c:v>0.54730983302411873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6-48D3-B5F5-D6015843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26624"/>
        <c:axId val="1005832744"/>
      </c:barChart>
      <c:lineChart>
        <c:grouping val="standard"/>
        <c:varyColors val="0"/>
        <c:ser>
          <c:idx val="5"/>
          <c:order val="3"/>
          <c:tx>
            <c:strRef>
              <c:f>MA!$I$1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MA!$H$2:$H$75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MA!$I$2:$I$75</c:f>
              <c:numCache>
                <c:formatCode>0%</c:formatCode>
                <c:ptCount val="74"/>
                <c:pt idx="0">
                  <c:v>0.39529411764705891</c:v>
                </c:pt>
                <c:pt idx="1">
                  <c:v>0.39529411764705891</c:v>
                </c:pt>
                <c:pt idx="2">
                  <c:v>0.39529411764705891</c:v>
                </c:pt>
                <c:pt idx="3">
                  <c:v>0.39529411764705891</c:v>
                </c:pt>
                <c:pt idx="4">
                  <c:v>0.39529411764705891</c:v>
                </c:pt>
                <c:pt idx="5">
                  <c:v>0.39529411764705891</c:v>
                </c:pt>
                <c:pt idx="6">
                  <c:v>0.39529411764705891</c:v>
                </c:pt>
                <c:pt idx="7">
                  <c:v>0.39529411764705891</c:v>
                </c:pt>
                <c:pt idx="8">
                  <c:v>0.39529411764705891</c:v>
                </c:pt>
                <c:pt idx="9">
                  <c:v>0.39529411764705891</c:v>
                </c:pt>
                <c:pt idx="10">
                  <c:v>0.39529411764705891</c:v>
                </c:pt>
                <c:pt idx="11">
                  <c:v>0.39529411764705891</c:v>
                </c:pt>
                <c:pt idx="12">
                  <c:v>0.39529411764705891</c:v>
                </c:pt>
                <c:pt idx="13">
                  <c:v>0.39529411764705891</c:v>
                </c:pt>
                <c:pt idx="14">
                  <c:v>0.39529411764705891</c:v>
                </c:pt>
                <c:pt idx="15">
                  <c:v>0.39529411764705891</c:v>
                </c:pt>
                <c:pt idx="16">
                  <c:v>0.39529411764705891</c:v>
                </c:pt>
                <c:pt idx="17">
                  <c:v>0.39529411764705891</c:v>
                </c:pt>
                <c:pt idx="18">
                  <c:v>0.39529411764705891</c:v>
                </c:pt>
                <c:pt idx="19">
                  <c:v>0.39529411764705891</c:v>
                </c:pt>
                <c:pt idx="20">
                  <c:v>0.39529411764705891</c:v>
                </c:pt>
                <c:pt idx="21">
                  <c:v>0.39529411764705891</c:v>
                </c:pt>
                <c:pt idx="22">
                  <c:v>0.39529411764705891</c:v>
                </c:pt>
                <c:pt idx="23">
                  <c:v>0.39529411764705891</c:v>
                </c:pt>
                <c:pt idx="24">
                  <c:v>0.39529411764705891</c:v>
                </c:pt>
                <c:pt idx="25">
                  <c:v>0.39529411764705891</c:v>
                </c:pt>
                <c:pt idx="26">
                  <c:v>0.39529411764705891</c:v>
                </c:pt>
                <c:pt idx="27">
                  <c:v>0.39529411764705891</c:v>
                </c:pt>
                <c:pt idx="28">
                  <c:v>0.39529411764705891</c:v>
                </c:pt>
                <c:pt idx="29">
                  <c:v>0.39529411764705891</c:v>
                </c:pt>
                <c:pt idx="30">
                  <c:v>0.39529411764705891</c:v>
                </c:pt>
                <c:pt idx="31">
                  <c:v>0.39529411764705891</c:v>
                </c:pt>
                <c:pt idx="32">
                  <c:v>0.39529411764705891</c:v>
                </c:pt>
                <c:pt idx="33">
                  <c:v>0.39529411764705891</c:v>
                </c:pt>
                <c:pt idx="34">
                  <c:v>0.39529411764705891</c:v>
                </c:pt>
                <c:pt idx="35">
                  <c:v>0.39529411764705891</c:v>
                </c:pt>
                <c:pt idx="36">
                  <c:v>0.39529411764705891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46-48D3-B5F5-D6015843CF3A}"/>
            </c:ext>
          </c:extLst>
        </c:ser>
        <c:ser>
          <c:idx val="6"/>
          <c:order val="4"/>
          <c:tx>
            <c:strRef>
              <c:f>MA!$J$1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MA!$H$2:$H$75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MA!$J$2:$J$75</c:f>
              <c:numCache>
                <c:formatCode>0%</c:formatCode>
                <c:ptCount val="74"/>
                <c:pt idx="0">
                  <c:v>0.40673684210526317</c:v>
                </c:pt>
                <c:pt idx="1">
                  <c:v>0.40673684210526317</c:v>
                </c:pt>
                <c:pt idx="2">
                  <c:v>0.40673684210526317</c:v>
                </c:pt>
                <c:pt idx="3">
                  <c:v>0.40673684210526317</c:v>
                </c:pt>
                <c:pt idx="4">
                  <c:v>0.40673684210526317</c:v>
                </c:pt>
                <c:pt idx="5">
                  <c:v>0.40673684210526317</c:v>
                </c:pt>
                <c:pt idx="6">
                  <c:v>0.40673684210526317</c:v>
                </c:pt>
                <c:pt idx="7">
                  <c:v>0.40673684210526317</c:v>
                </c:pt>
                <c:pt idx="8">
                  <c:v>0.40673684210526317</c:v>
                </c:pt>
                <c:pt idx="9">
                  <c:v>0.40673684210526317</c:v>
                </c:pt>
                <c:pt idx="10">
                  <c:v>0.40673684210526317</c:v>
                </c:pt>
                <c:pt idx="11">
                  <c:v>0.40673684210526317</c:v>
                </c:pt>
                <c:pt idx="12">
                  <c:v>0.40673684210526317</c:v>
                </c:pt>
                <c:pt idx="13">
                  <c:v>0.40673684210526317</c:v>
                </c:pt>
                <c:pt idx="14">
                  <c:v>0.40673684210526317</c:v>
                </c:pt>
                <c:pt idx="15">
                  <c:v>0.40673684210526317</c:v>
                </c:pt>
                <c:pt idx="16">
                  <c:v>0.40673684210526317</c:v>
                </c:pt>
                <c:pt idx="17">
                  <c:v>0.40673684210526317</c:v>
                </c:pt>
                <c:pt idx="18">
                  <c:v>0.40673684210526317</c:v>
                </c:pt>
                <c:pt idx="19">
                  <c:v>0.40673684210526317</c:v>
                </c:pt>
                <c:pt idx="20">
                  <c:v>0.40673684210526317</c:v>
                </c:pt>
                <c:pt idx="21">
                  <c:v>0.40673684210526317</c:v>
                </c:pt>
                <c:pt idx="22">
                  <c:v>0.40673684210526317</c:v>
                </c:pt>
                <c:pt idx="23">
                  <c:v>0.40673684210526317</c:v>
                </c:pt>
                <c:pt idx="24">
                  <c:v>0.40673684210526317</c:v>
                </c:pt>
                <c:pt idx="25">
                  <c:v>0.40673684210526317</c:v>
                </c:pt>
                <c:pt idx="26">
                  <c:v>0.40673684210526317</c:v>
                </c:pt>
                <c:pt idx="27">
                  <c:v>0.40673684210526317</c:v>
                </c:pt>
                <c:pt idx="28">
                  <c:v>0.40673684210526317</c:v>
                </c:pt>
                <c:pt idx="29">
                  <c:v>0.40673684210526317</c:v>
                </c:pt>
                <c:pt idx="30">
                  <c:v>0.40673684210526317</c:v>
                </c:pt>
                <c:pt idx="31">
                  <c:v>0.40673684210526317</c:v>
                </c:pt>
                <c:pt idx="32">
                  <c:v>0.40673684210526317</c:v>
                </c:pt>
                <c:pt idx="33">
                  <c:v>0.40673684210526317</c:v>
                </c:pt>
                <c:pt idx="34">
                  <c:v>0.40673684210526317</c:v>
                </c:pt>
                <c:pt idx="35">
                  <c:v>0.40673684210526317</c:v>
                </c:pt>
                <c:pt idx="36">
                  <c:v>0.40673684210526317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46-48D3-B5F5-D6015843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26624"/>
        <c:axId val="1005832744"/>
      </c:lineChart>
      <c:catAx>
        <c:axId val="10058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2744"/>
        <c:crosses val="autoZero"/>
        <c:auto val="1"/>
        <c:lblAlgn val="ctr"/>
        <c:lblOffset val="100"/>
        <c:noMultiLvlLbl val="0"/>
      </c:catAx>
      <c:valAx>
        <c:axId val="100583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266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9508234567901231"/>
          <c:y val="0.90078055555555547"/>
          <c:w val="0.6098351851851852"/>
          <c:h val="9.921944444444444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chính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xác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(BJ)- 9h/ca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Ca 2=42%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BJ!$K$1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BJ!$K$2:$K$75</c:f>
              <c:numCache>
                <c:formatCode>0%</c:formatCode>
                <c:ptCount val="74"/>
                <c:pt idx="0">
                  <c:v>0.19962145963362701</c:v>
                </c:pt>
                <c:pt idx="1">
                  <c:v>0.17090660239816716</c:v>
                </c:pt>
                <c:pt idx="2">
                  <c:v>0.22044461981329197</c:v>
                </c:pt>
                <c:pt idx="3">
                  <c:v>0.20851398560951345</c:v>
                </c:pt>
                <c:pt idx="4">
                  <c:v>0.2279842874483228</c:v>
                </c:pt>
                <c:pt idx="5">
                  <c:v>0.24433168261864049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0.24243265759511246</c:v>
                </c:pt>
                <c:pt idx="13">
                  <c:v>0.25957801221543586</c:v>
                </c:pt>
                <c:pt idx="14">
                  <c:v>0.28087704690535664</c:v>
                </c:pt>
                <c:pt idx="15">
                  <c:v>0.27300443458980045</c:v>
                </c:pt>
                <c:pt idx="16">
                  <c:v>0.25985563575791226</c:v>
                </c:pt>
                <c:pt idx="17">
                  <c:v>0.25707154742096505</c:v>
                </c:pt>
                <c:pt idx="18">
                  <c:v>0.23384188626907074</c:v>
                </c:pt>
                <c:pt idx="19">
                  <c:v>0.25838647075131688</c:v>
                </c:pt>
                <c:pt idx="20">
                  <c:v>0.22848417545807884</c:v>
                </c:pt>
                <c:pt idx="21">
                  <c:v>0.32454192115491393</c:v>
                </c:pt>
                <c:pt idx="22">
                  <c:v>0.23027777777777778</c:v>
                </c:pt>
                <c:pt idx="23">
                  <c:v>0.26429761243753469</c:v>
                </c:pt>
                <c:pt idx="24">
                  <c:v>2.7785495971103082E-4</c:v>
                </c:pt>
                <c:pt idx="25">
                  <c:v>0</c:v>
                </c:pt>
                <c:pt idx="26">
                  <c:v>0.23736812881732372</c:v>
                </c:pt>
                <c:pt idx="27">
                  <c:v>0.28761799000555249</c:v>
                </c:pt>
                <c:pt idx="28">
                  <c:v>0.25790349417637271</c:v>
                </c:pt>
                <c:pt idx="29">
                  <c:v>0.2674257150791447</c:v>
                </c:pt>
                <c:pt idx="30">
                  <c:v>0.25443951165371809</c:v>
                </c:pt>
                <c:pt idx="31">
                  <c:v>0.24021105248542071</c:v>
                </c:pt>
                <c:pt idx="32">
                  <c:v>0.22848417545807884</c:v>
                </c:pt>
                <c:pt idx="33">
                  <c:v>0.28381005276312138</c:v>
                </c:pt>
                <c:pt idx="34">
                  <c:v>0.29700499168053246</c:v>
                </c:pt>
                <c:pt idx="35">
                  <c:v>0.33425951653237013</c:v>
                </c:pt>
                <c:pt idx="36">
                  <c:v>0.30647402056126699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8-475C-99B0-B08D49068FED}"/>
            </c:ext>
          </c:extLst>
        </c:ser>
        <c:ser>
          <c:idx val="3"/>
          <c:order val="1"/>
          <c:tx>
            <c:strRef>
              <c:f>BJ!$L$1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BJ!$H$2:$H$75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BJ!$L$2:$L$75</c:f>
              <c:numCache>
                <c:formatCode>0%</c:formatCode>
                <c:ptCount val="74"/>
                <c:pt idx="0">
                  <c:v>0.31799643991798293</c:v>
                </c:pt>
                <c:pt idx="1">
                  <c:v>0.22880280083707738</c:v>
                </c:pt>
                <c:pt idx="2">
                  <c:v>0.30642268475755757</c:v>
                </c:pt>
                <c:pt idx="3">
                  <c:v>0.29679568748120216</c:v>
                </c:pt>
                <c:pt idx="4">
                  <c:v>0.33899785452900416</c:v>
                </c:pt>
                <c:pt idx="5">
                  <c:v>0.37293198019142371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0.53179672313246318</c:v>
                </c:pt>
                <c:pt idx="13">
                  <c:v>0.41615769017212662</c:v>
                </c:pt>
                <c:pt idx="14">
                  <c:v>0.43880099916736054</c:v>
                </c:pt>
                <c:pt idx="15">
                  <c:v>0.48503325942350334</c:v>
                </c:pt>
                <c:pt idx="16">
                  <c:v>0.31621321488062187</c:v>
                </c:pt>
                <c:pt idx="17">
                  <c:v>0.35801442041042708</c:v>
                </c:pt>
                <c:pt idx="18">
                  <c:v>0.33841886269070737</c:v>
                </c:pt>
                <c:pt idx="19">
                  <c:v>0.36706404214028276</c:v>
                </c:pt>
                <c:pt idx="20">
                  <c:v>0.34786229872293173</c:v>
                </c:pt>
                <c:pt idx="21">
                  <c:v>0.43614658523042754</c:v>
                </c:pt>
                <c:pt idx="22">
                  <c:v>0.31555555555555553</c:v>
                </c:pt>
                <c:pt idx="23">
                  <c:v>0.38672959466962797</c:v>
                </c:pt>
                <c:pt idx="24">
                  <c:v>2.5006946373992774E-3</c:v>
                </c:pt>
                <c:pt idx="25">
                  <c:v>0</c:v>
                </c:pt>
                <c:pt idx="26">
                  <c:v>0.33953359244863962</c:v>
                </c:pt>
                <c:pt idx="27">
                  <c:v>0.32815102720710715</c:v>
                </c:pt>
                <c:pt idx="28">
                  <c:v>0.46367165834719909</c:v>
                </c:pt>
                <c:pt idx="29">
                  <c:v>0.50013885031935579</c:v>
                </c:pt>
                <c:pt idx="30">
                  <c:v>0.46698113207547171</c:v>
                </c:pt>
                <c:pt idx="31">
                  <c:v>0.50569286309358508</c:v>
                </c:pt>
                <c:pt idx="32">
                  <c:v>0.43170460855080511</c:v>
                </c:pt>
                <c:pt idx="33">
                  <c:v>0.39016939738961398</c:v>
                </c:pt>
                <c:pt idx="34">
                  <c:v>0.42401552967276762</c:v>
                </c:pt>
                <c:pt idx="35">
                  <c:v>0.35648791330925256</c:v>
                </c:pt>
                <c:pt idx="36">
                  <c:v>0.37565990552931372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48-475C-99B0-B08D49068FED}"/>
            </c:ext>
          </c:extLst>
        </c:ser>
        <c:ser>
          <c:idx val="4"/>
          <c:order val="2"/>
          <c:tx>
            <c:strRef>
              <c:f>BJ!$M$1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BJ!$H$2:$H$75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BJ!$M$2:$M$75</c:f>
              <c:numCache>
                <c:formatCode>0%</c:formatCode>
                <c:ptCount val="74"/>
                <c:pt idx="0">
                  <c:v>0.48238210044839008</c:v>
                </c:pt>
                <c:pt idx="1">
                  <c:v>0.60029059676475549</c:v>
                </c:pt>
                <c:pt idx="2">
                  <c:v>0.47313269542915048</c:v>
                </c:pt>
                <c:pt idx="3">
                  <c:v>0.49469032690928438</c:v>
                </c:pt>
                <c:pt idx="4">
                  <c:v>0.43301785802267301</c:v>
                </c:pt>
                <c:pt idx="5">
                  <c:v>0.38273633718993583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0.22577061927242434</c:v>
                </c:pt>
                <c:pt idx="13">
                  <c:v>0.32426429761243752</c:v>
                </c:pt>
                <c:pt idx="14">
                  <c:v>0.28032195392728282</c:v>
                </c:pt>
                <c:pt idx="15">
                  <c:v>0.24196230598669624</c:v>
                </c:pt>
                <c:pt idx="16">
                  <c:v>0.42393114936146586</c:v>
                </c:pt>
                <c:pt idx="17">
                  <c:v>0.38491403216860787</c:v>
                </c:pt>
                <c:pt idx="18">
                  <c:v>0.42773925104022192</c:v>
                </c:pt>
                <c:pt idx="19">
                  <c:v>0.37454948710840036</c:v>
                </c:pt>
                <c:pt idx="20">
                  <c:v>0.42365352581898946</c:v>
                </c:pt>
                <c:pt idx="21">
                  <c:v>0.23931149361465853</c:v>
                </c:pt>
                <c:pt idx="22">
                  <c:v>0.45416666666666666</c:v>
                </c:pt>
                <c:pt idx="23">
                  <c:v>0.34897279289283734</c:v>
                </c:pt>
                <c:pt idx="24">
                  <c:v>0.99722145040288968</c:v>
                </c:pt>
                <c:pt idx="25">
                  <c:v>1</c:v>
                </c:pt>
                <c:pt idx="26">
                  <c:v>0.42309827873403666</c:v>
                </c:pt>
                <c:pt idx="27">
                  <c:v>0.38423098278734036</c:v>
                </c:pt>
                <c:pt idx="28">
                  <c:v>0.27842484747642815</c:v>
                </c:pt>
                <c:pt idx="29">
                  <c:v>0.2324354346014996</c:v>
                </c:pt>
                <c:pt idx="30">
                  <c:v>0.27857935627081021</c:v>
                </c:pt>
                <c:pt idx="31">
                  <c:v>0.25409608442099418</c:v>
                </c:pt>
                <c:pt idx="32">
                  <c:v>0.33981121599111602</c:v>
                </c:pt>
                <c:pt idx="33">
                  <c:v>0.32602054984726464</c:v>
                </c:pt>
                <c:pt idx="34">
                  <c:v>0.27897947864669992</c:v>
                </c:pt>
                <c:pt idx="35">
                  <c:v>0.30925257015837732</c:v>
                </c:pt>
                <c:pt idx="36">
                  <c:v>0.31786607390941929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48-475C-99B0-B08D4906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83784"/>
        <c:axId val="1005783424"/>
      </c:barChart>
      <c:lineChart>
        <c:grouping val="standard"/>
        <c:varyColors val="0"/>
        <c:ser>
          <c:idx val="5"/>
          <c:order val="3"/>
          <c:tx>
            <c:strRef>
              <c:f>BJ!$I$1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BJ!$H$2:$H$75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BJ!$I$2:$I$75</c:f>
              <c:numCache>
                <c:formatCode>0%</c:formatCode>
                <c:ptCount val="74"/>
                <c:pt idx="0">
                  <c:v>0.39529411764705891</c:v>
                </c:pt>
                <c:pt idx="1">
                  <c:v>0.39529411764705891</c:v>
                </c:pt>
                <c:pt idx="2">
                  <c:v>0.39529411764705891</c:v>
                </c:pt>
                <c:pt idx="3">
                  <c:v>0.39529411764705891</c:v>
                </c:pt>
                <c:pt idx="4">
                  <c:v>0.39529411764705891</c:v>
                </c:pt>
                <c:pt idx="5">
                  <c:v>0.39529411764705891</c:v>
                </c:pt>
                <c:pt idx="6">
                  <c:v>0.39529411764705891</c:v>
                </c:pt>
                <c:pt idx="7">
                  <c:v>0.39529411764705891</c:v>
                </c:pt>
                <c:pt idx="8">
                  <c:v>0.39529411764705891</c:v>
                </c:pt>
                <c:pt idx="9">
                  <c:v>0.39529411764705891</c:v>
                </c:pt>
                <c:pt idx="10">
                  <c:v>0.39529411764705891</c:v>
                </c:pt>
                <c:pt idx="11">
                  <c:v>0.39529411764705891</c:v>
                </c:pt>
                <c:pt idx="12">
                  <c:v>0.39529411764705891</c:v>
                </c:pt>
                <c:pt idx="13">
                  <c:v>0.39529411764705891</c:v>
                </c:pt>
                <c:pt idx="14">
                  <c:v>0.39529411764705891</c:v>
                </c:pt>
                <c:pt idx="15">
                  <c:v>0.39529411764705891</c:v>
                </c:pt>
                <c:pt idx="16">
                  <c:v>0.39529411764705891</c:v>
                </c:pt>
                <c:pt idx="17">
                  <c:v>0.39529411764705891</c:v>
                </c:pt>
                <c:pt idx="18">
                  <c:v>0.39529411764705891</c:v>
                </c:pt>
                <c:pt idx="19">
                  <c:v>0.39529411764705891</c:v>
                </c:pt>
                <c:pt idx="20">
                  <c:v>0.39529411764705891</c:v>
                </c:pt>
                <c:pt idx="21">
                  <c:v>0.39529411764705891</c:v>
                </c:pt>
                <c:pt idx="22">
                  <c:v>0.39529411764705891</c:v>
                </c:pt>
                <c:pt idx="23">
                  <c:v>0.39529411764705891</c:v>
                </c:pt>
                <c:pt idx="24">
                  <c:v>0.39529411764705891</c:v>
                </c:pt>
                <c:pt idx="25">
                  <c:v>0.39529411764705891</c:v>
                </c:pt>
                <c:pt idx="26">
                  <c:v>0.39529411764705891</c:v>
                </c:pt>
                <c:pt idx="27">
                  <c:v>0.39529411764705891</c:v>
                </c:pt>
                <c:pt idx="28">
                  <c:v>0.39529411764705891</c:v>
                </c:pt>
                <c:pt idx="29">
                  <c:v>0.39529411764705891</c:v>
                </c:pt>
                <c:pt idx="30">
                  <c:v>0.39529411764705891</c:v>
                </c:pt>
                <c:pt idx="31">
                  <c:v>0.39529411764705891</c:v>
                </c:pt>
                <c:pt idx="32">
                  <c:v>0.39529411764705891</c:v>
                </c:pt>
                <c:pt idx="33">
                  <c:v>0.39529411764705891</c:v>
                </c:pt>
                <c:pt idx="34">
                  <c:v>0.39529411764705891</c:v>
                </c:pt>
                <c:pt idx="35">
                  <c:v>0.39529411764705891</c:v>
                </c:pt>
                <c:pt idx="36">
                  <c:v>0.39529411764705891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48-475C-99B0-B08D49068FED}"/>
            </c:ext>
          </c:extLst>
        </c:ser>
        <c:ser>
          <c:idx val="6"/>
          <c:order val="4"/>
          <c:tx>
            <c:strRef>
              <c:f>BJ!$J$1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BJ!$H$2:$H$75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BJ!$J$2:$J$75</c:f>
              <c:numCache>
                <c:formatCode>0%</c:formatCode>
                <c:ptCount val="74"/>
                <c:pt idx="0">
                  <c:v>0.40673684210526317</c:v>
                </c:pt>
                <c:pt idx="1">
                  <c:v>0.40673684210526317</c:v>
                </c:pt>
                <c:pt idx="2">
                  <c:v>0.40673684210526317</c:v>
                </c:pt>
                <c:pt idx="3">
                  <c:v>0.40673684210526317</c:v>
                </c:pt>
                <c:pt idx="4">
                  <c:v>0.40673684210526317</c:v>
                </c:pt>
                <c:pt idx="5">
                  <c:v>0.40673684210526317</c:v>
                </c:pt>
                <c:pt idx="6">
                  <c:v>0.40673684210526317</c:v>
                </c:pt>
                <c:pt idx="7">
                  <c:v>0.40673684210526317</c:v>
                </c:pt>
                <c:pt idx="8">
                  <c:v>0.40673684210526317</c:v>
                </c:pt>
                <c:pt idx="9">
                  <c:v>0.40673684210526317</c:v>
                </c:pt>
                <c:pt idx="10">
                  <c:v>0.40673684210526317</c:v>
                </c:pt>
                <c:pt idx="11">
                  <c:v>0.40673684210526317</c:v>
                </c:pt>
                <c:pt idx="12">
                  <c:v>0.40673684210526317</c:v>
                </c:pt>
                <c:pt idx="13">
                  <c:v>0.40673684210526317</c:v>
                </c:pt>
                <c:pt idx="14">
                  <c:v>0.40673684210526317</c:v>
                </c:pt>
                <c:pt idx="15">
                  <c:v>0.40673684210526317</c:v>
                </c:pt>
                <c:pt idx="16">
                  <c:v>0.40673684210526317</c:v>
                </c:pt>
                <c:pt idx="17">
                  <c:v>0.40673684210526317</c:v>
                </c:pt>
                <c:pt idx="18">
                  <c:v>0.40673684210526317</c:v>
                </c:pt>
                <c:pt idx="19">
                  <c:v>0.40673684210526317</c:v>
                </c:pt>
                <c:pt idx="20">
                  <c:v>0.40673684210526317</c:v>
                </c:pt>
                <c:pt idx="21">
                  <c:v>0.40673684210526317</c:v>
                </c:pt>
                <c:pt idx="22">
                  <c:v>0.40673684210526317</c:v>
                </c:pt>
                <c:pt idx="23">
                  <c:v>0.40673684210526317</c:v>
                </c:pt>
                <c:pt idx="24">
                  <c:v>0.40673684210526317</c:v>
                </c:pt>
                <c:pt idx="25">
                  <c:v>0.40673684210526317</c:v>
                </c:pt>
                <c:pt idx="26">
                  <c:v>0.40673684210526317</c:v>
                </c:pt>
                <c:pt idx="27">
                  <c:v>0.40673684210526317</c:v>
                </c:pt>
                <c:pt idx="28">
                  <c:v>0.40673684210526317</c:v>
                </c:pt>
                <c:pt idx="29">
                  <c:v>0.40673684210526317</c:v>
                </c:pt>
                <c:pt idx="30">
                  <c:v>0.40673684210526317</c:v>
                </c:pt>
                <c:pt idx="31">
                  <c:v>0.40673684210526317</c:v>
                </c:pt>
                <c:pt idx="32">
                  <c:v>0.40673684210526317</c:v>
                </c:pt>
                <c:pt idx="33">
                  <c:v>0.40673684210526317</c:v>
                </c:pt>
                <c:pt idx="34">
                  <c:v>0.40673684210526317</c:v>
                </c:pt>
                <c:pt idx="35">
                  <c:v>0.40673684210526317</c:v>
                </c:pt>
                <c:pt idx="36">
                  <c:v>0.40673684210526317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48-475C-99B0-B08D49068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83784"/>
        <c:axId val="1005783424"/>
      </c:lineChart>
      <c:catAx>
        <c:axId val="100578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3424"/>
        <c:crosses val="autoZero"/>
        <c:auto val="1"/>
        <c:lblAlgn val="ctr"/>
        <c:lblOffset val="100"/>
        <c:noMultiLvlLbl val="0"/>
      </c:catAx>
      <c:valAx>
        <c:axId val="100578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37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Tiện Cơ(LA)-9h/ca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1=21%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Ca 2=30%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5303548872089782"/>
          <c:y val="2.477738156728644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5045133694832697E-2"/>
          <c:y val="1.729246011057952E-2"/>
          <c:w val="0.9592893600194079"/>
          <c:h val="0.68679017680180099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LA!$K$1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LA!$K$2:$K$75</c:f>
              <c:numCache>
                <c:formatCode>0%</c:formatCode>
                <c:ptCount val="74"/>
                <c:pt idx="0">
                  <c:v>0.15115834887535673</c:v>
                </c:pt>
                <c:pt idx="1">
                  <c:v>0.12992551410117875</c:v>
                </c:pt>
                <c:pt idx="2">
                  <c:v>0.16912482579241164</c:v>
                </c:pt>
                <c:pt idx="3">
                  <c:v>0.16595233881454921</c:v>
                </c:pt>
                <c:pt idx="4">
                  <c:v>0.17378898276041899</c:v>
                </c:pt>
                <c:pt idx="5">
                  <c:v>0.22466026220198035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0.15416666666666667</c:v>
                </c:pt>
                <c:pt idx="13">
                  <c:v>0.26917776757005052</c:v>
                </c:pt>
                <c:pt idx="14">
                  <c:v>0.22181146025878004</c:v>
                </c:pt>
                <c:pt idx="15">
                  <c:v>0.35259055479138013</c:v>
                </c:pt>
                <c:pt idx="16">
                  <c:v>0.21266759130836801</c:v>
                </c:pt>
                <c:pt idx="17">
                  <c:v>0.3304307974335472</c:v>
                </c:pt>
                <c:pt idx="18">
                  <c:v>0.25346260387811637</c:v>
                </c:pt>
                <c:pt idx="19">
                  <c:v>0.36902573529411764</c:v>
                </c:pt>
                <c:pt idx="20">
                  <c:v>0.1756007393715342</c:v>
                </c:pt>
                <c:pt idx="21">
                  <c:v>0.30988505747126438</c:v>
                </c:pt>
                <c:pt idx="22">
                  <c:v>7.6780758556891773E-2</c:v>
                </c:pt>
                <c:pt idx="23">
                  <c:v>0.20193192272309107</c:v>
                </c:pt>
                <c:pt idx="24">
                  <c:v>0</c:v>
                </c:pt>
                <c:pt idx="25">
                  <c:v>0</c:v>
                </c:pt>
                <c:pt idx="26">
                  <c:v>0.31445672191528545</c:v>
                </c:pt>
                <c:pt idx="27">
                  <c:v>0.21709006928406466</c:v>
                </c:pt>
                <c:pt idx="28">
                  <c:v>0.20890725436179983</c:v>
                </c:pt>
                <c:pt idx="29">
                  <c:v>0.21817343173431733</c:v>
                </c:pt>
                <c:pt idx="30">
                  <c:v>0.28518859245630174</c:v>
                </c:pt>
                <c:pt idx="31">
                  <c:v>0.30364559298569449</c:v>
                </c:pt>
                <c:pt idx="32">
                  <c:v>0.20175034546292031</c:v>
                </c:pt>
                <c:pt idx="33">
                  <c:v>0.27008310249307477</c:v>
                </c:pt>
                <c:pt idx="34">
                  <c:v>0.22242731887401937</c:v>
                </c:pt>
                <c:pt idx="35">
                  <c:v>0.16474388555606831</c:v>
                </c:pt>
                <c:pt idx="36">
                  <c:v>0.27736890524379026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A-4A8A-8F69-2BA48ED394A0}"/>
            </c:ext>
          </c:extLst>
        </c:ser>
        <c:ser>
          <c:idx val="3"/>
          <c:order val="1"/>
          <c:tx>
            <c:strRef>
              <c:f>LA!$L$1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LA!$H$2:$H$75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LA!$L$2:$L$75</c:f>
              <c:numCache>
                <c:formatCode>0%</c:formatCode>
                <c:ptCount val="74"/>
                <c:pt idx="0">
                  <c:v>0.20187403096420467</c:v>
                </c:pt>
                <c:pt idx="1">
                  <c:v>0.14813867740099479</c:v>
                </c:pt>
                <c:pt idx="2">
                  <c:v>0.18562517234440562</c:v>
                </c:pt>
                <c:pt idx="3">
                  <c:v>0.16375164474949791</c:v>
                </c:pt>
                <c:pt idx="4">
                  <c:v>0.15971570336596486</c:v>
                </c:pt>
                <c:pt idx="5">
                  <c:v>0.2292700016595062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0.16574074074074074</c:v>
                </c:pt>
                <c:pt idx="13">
                  <c:v>0.44464859898943498</c:v>
                </c:pt>
                <c:pt idx="14">
                  <c:v>0.15619223659889095</c:v>
                </c:pt>
                <c:pt idx="15">
                  <c:v>0.40944520861989914</c:v>
                </c:pt>
                <c:pt idx="16">
                  <c:v>0.15441516412390199</c:v>
                </c:pt>
                <c:pt idx="17">
                  <c:v>0.44271310724106322</c:v>
                </c:pt>
                <c:pt idx="18">
                  <c:v>0.13204062788550322</c:v>
                </c:pt>
                <c:pt idx="19">
                  <c:v>0.4030330882352941</c:v>
                </c:pt>
                <c:pt idx="20">
                  <c:v>1.3863216266173753E-2</c:v>
                </c:pt>
                <c:pt idx="21">
                  <c:v>0.43448275862068964</c:v>
                </c:pt>
                <c:pt idx="22">
                  <c:v>5.0878815911193339E-3</c:v>
                </c:pt>
                <c:pt idx="23">
                  <c:v>0.23689052437902483</c:v>
                </c:pt>
                <c:pt idx="24">
                  <c:v>0</c:v>
                </c:pt>
                <c:pt idx="25">
                  <c:v>0</c:v>
                </c:pt>
                <c:pt idx="26">
                  <c:v>0.37891344383057091</c:v>
                </c:pt>
                <c:pt idx="27">
                  <c:v>0.13394919168591224</c:v>
                </c:pt>
                <c:pt idx="28">
                  <c:v>0.2502295684113866</c:v>
                </c:pt>
                <c:pt idx="29">
                  <c:v>0.1379151291512915</c:v>
                </c:pt>
                <c:pt idx="30">
                  <c:v>0.40156393744250229</c:v>
                </c:pt>
                <c:pt idx="31">
                  <c:v>0.15551453622519612</c:v>
                </c:pt>
                <c:pt idx="32">
                  <c:v>0.29709811146936893</c:v>
                </c:pt>
                <c:pt idx="33">
                  <c:v>0.14866112650046168</c:v>
                </c:pt>
                <c:pt idx="34">
                  <c:v>0.29164743885556066</c:v>
                </c:pt>
                <c:pt idx="35">
                  <c:v>0.12736502076603601</c:v>
                </c:pt>
                <c:pt idx="36">
                  <c:v>0.40064397424103038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A-4A8A-8F69-2BA48ED394A0}"/>
            </c:ext>
          </c:extLst>
        </c:ser>
        <c:ser>
          <c:idx val="4"/>
          <c:order val="2"/>
          <c:tx>
            <c:strRef>
              <c:f>LA!$M$1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LA!$M$2:$M$75</c:f>
              <c:numCache>
                <c:formatCode>0%</c:formatCode>
                <c:ptCount val="74"/>
                <c:pt idx="0">
                  <c:v>0.64696762016043863</c:v>
                </c:pt>
                <c:pt idx="1">
                  <c:v>0.72193580849782646</c:v>
                </c:pt>
                <c:pt idx="2">
                  <c:v>0.64525000186318271</c:v>
                </c:pt>
                <c:pt idx="3">
                  <c:v>0.67029601643595282</c:v>
                </c:pt>
                <c:pt idx="4">
                  <c:v>0.66649531387361616</c:v>
                </c:pt>
                <c:pt idx="5">
                  <c:v>0.54606973613851351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0.68009259259259258</c:v>
                </c:pt>
                <c:pt idx="13">
                  <c:v>0.2861736334405145</c:v>
                </c:pt>
                <c:pt idx="14">
                  <c:v>0.62199630314232901</c:v>
                </c:pt>
                <c:pt idx="15">
                  <c:v>0.23796423658872076</c:v>
                </c:pt>
                <c:pt idx="16">
                  <c:v>0.63291724456773002</c:v>
                </c:pt>
                <c:pt idx="17">
                  <c:v>0.22685609532538956</c:v>
                </c:pt>
                <c:pt idx="18">
                  <c:v>0.61449676823638044</c:v>
                </c:pt>
                <c:pt idx="19">
                  <c:v>0.22794117647058823</c:v>
                </c:pt>
                <c:pt idx="20">
                  <c:v>0.8105360443622921</c:v>
                </c:pt>
                <c:pt idx="21">
                  <c:v>0.25563218390804598</c:v>
                </c:pt>
                <c:pt idx="22">
                  <c:v>0.9181313598519889</c:v>
                </c:pt>
                <c:pt idx="23">
                  <c:v>0.56117755289788407</c:v>
                </c:pt>
                <c:pt idx="24">
                  <c:v>1</c:v>
                </c:pt>
                <c:pt idx="25">
                  <c:v>1</c:v>
                </c:pt>
                <c:pt idx="26">
                  <c:v>0.30662983425414364</c:v>
                </c:pt>
                <c:pt idx="27">
                  <c:v>0.64896073903002305</c:v>
                </c:pt>
                <c:pt idx="28">
                  <c:v>0.54086317722681354</c:v>
                </c:pt>
                <c:pt idx="29">
                  <c:v>0.64391143911439119</c:v>
                </c:pt>
                <c:pt idx="30">
                  <c:v>0.31324747010119597</c:v>
                </c:pt>
                <c:pt idx="31">
                  <c:v>0.54083987078910933</c:v>
                </c:pt>
                <c:pt idx="32">
                  <c:v>0.5011515430677107</c:v>
                </c:pt>
                <c:pt idx="33">
                  <c:v>0.58125577100646353</c:v>
                </c:pt>
                <c:pt idx="34">
                  <c:v>0.48592524227041994</c:v>
                </c:pt>
                <c:pt idx="35">
                  <c:v>0.70789109367789571</c:v>
                </c:pt>
                <c:pt idx="36">
                  <c:v>0.32198712051517941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EA-4A8A-8F69-2BA48ED39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792424"/>
        <c:axId val="1005799264"/>
      </c:barChart>
      <c:lineChart>
        <c:grouping val="standard"/>
        <c:varyColors val="0"/>
        <c:ser>
          <c:idx val="5"/>
          <c:order val="3"/>
          <c:tx>
            <c:strRef>
              <c:f>LA!$I$1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triangle"/>
            <c:size val="5"/>
            <c:spPr>
              <a:noFill/>
              <a:ln w="9525">
                <a:noFill/>
                <a:prstDash val="solid"/>
              </a:ln>
            </c:spPr>
          </c:marker>
          <c:cat>
            <c:strRef>
              <c:f>LA!$H$2:$H$75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LA!$I$2:$I$75</c:f>
              <c:numCache>
                <c:formatCode>0%</c:formatCode>
                <c:ptCount val="74"/>
                <c:pt idx="0">
                  <c:v>0.27450980392156871</c:v>
                </c:pt>
                <c:pt idx="1">
                  <c:v>0.27450980392156871</c:v>
                </c:pt>
                <c:pt idx="2">
                  <c:v>0.27450980392156871</c:v>
                </c:pt>
                <c:pt idx="3">
                  <c:v>0.27450980392156871</c:v>
                </c:pt>
                <c:pt idx="4">
                  <c:v>0.27450980392156871</c:v>
                </c:pt>
                <c:pt idx="5">
                  <c:v>0.27450980392156871</c:v>
                </c:pt>
                <c:pt idx="6">
                  <c:v>0.27450980392156871</c:v>
                </c:pt>
                <c:pt idx="7">
                  <c:v>0.27450980392156871</c:v>
                </c:pt>
                <c:pt idx="8">
                  <c:v>0.27450980392156871</c:v>
                </c:pt>
                <c:pt idx="9">
                  <c:v>0.27450980392156871</c:v>
                </c:pt>
                <c:pt idx="10">
                  <c:v>0.27450980392156871</c:v>
                </c:pt>
                <c:pt idx="11">
                  <c:v>0.27450980392156871</c:v>
                </c:pt>
                <c:pt idx="12">
                  <c:v>0.27450980392156871</c:v>
                </c:pt>
                <c:pt idx="13">
                  <c:v>0.27450980392156871</c:v>
                </c:pt>
                <c:pt idx="14">
                  <c:v>0.27450980392156871</c:v>
                </c:pt>
                <c:pt idx="15">
                  <c:v>0.27450980392156871</c:v>
                </c:pt>
                <c:pt idx="16">
                  <c:v>0.27450980392156871</c:v>
                </c:pt>
                <c:pt idx="17">
                  <c:v>0.27450980392156871</c:v>
                </c:pt>
                <c:pt idx="18">
                  <c:v>0.27450980392156871</c:v>
                </c:pt>
                <c:pt idx="19">
                  <c:v>0.27450980392156871</c:v>
                </c:pt>
                <c:pt idx="20">
                  <c:v>0.27450980392156871</c:v>
                </c:pt>
                <c:pt idx="21">
                  <c:v>0.27450980392156871</c:v>
                </c:pt>
                <c:pt idx="22">
                  <c:v>0.27450980392156871</c:v>
                </c:pt>
                <c:pt idx="23">
                  <c:v>0.27450980392156871</c:v>
                </c:pt>
                <c:pt idx="24">
                  <c:v>0.27450980392156871</c:v>
                </c:pt>
                <c:pt idx="25">
                  <c:v>0.27450980392156871</c:v>
                </c:pt>
                <c:pt idx="26">
                  <c:v>0.27450980392156871</c:v>
                </c:pt>
                <c:pt idx="27">
                  <c:v>0.27450980392156871</c:v>
                </c:pt>
                <c:pt idx="28">
                  <c:v>0.27450980392156871</c:v>
                </c:pt>
                <c:pt idx="29">
                  <c:v>0.27450980392156871</c:v>
                </c:pt>
                <c:pt idx="30">
                  <c:v>0.27450980392156871</c:v>
                </c:pt>
                <c:pt idx="31">
                  <c:v>0.27450980392156871</c:v>
                </c:pt>
                <c:pt idx="32">
                  <c:v>0.27450980392156871</c:v>
                </c:pt>
                <c:pt idx="33">
                  <c:v>0.27450980392156871</c:v>
                </c:pt>
                <c:pt idx="34">
                  <c:v>0.27450980392156871</c:v>
                </c:pt>
                <c:pt idx="35">
                  <c:v>0.27450980392156871</c:v>
                </c:pt>
                <c:pt idx="36">
                  <c:v>0.27450980392156871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EA-4A8A-8F69-2BA48ED394A0}"/>
            </c:ext>
          </c:extLst>
        </c:ser>
        <c:ser>
          <c:idx val="6"/>
          <c:order val="4"/>
          <c:tx>
            <c:strRef>
              <c:f>LA!$J$1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noFill/>
              <a:ln w="9525">
                <a:noFill/>
                <a:prstDash val="solid"/>
              </a:ln>
            </c:spPr>
          </c:marker>
          <c:cat>
            <c:strRef>
              <c:f>LA!$H$2:$H$75</c:f>
              <c:strCache>
                <c:ptCount val="37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01/06-1</c:v>
                </c:pt>
                <c:pt idx="13">
                  <c:v>01/06-2</c:v>
                </c:pt>
                <c:pt idx="14">
                  <c:v>02/06-1</c:v>
                </c:pt>
                <c:pt idx="15">
                  <c:v>02/06-2</c:v>
                </c:pt>
                <c:pt idx="16">
                  <c:v>03/06-1</c:v>
                </c:pt>
                <c:pt idx="17">
                  <c:v>03/06-2</c:v>
                </c:pt>
                <c:pt idx="18">
                  <c:v>04/06-1</c:v>
                </c:pt>
                <c:pt idx="19">
                  <c:v>04/06-2</c:v>
                </c:pt>
                <c:pt idx="20">
                  <c:v>05/06-1</c:v>
                </c:pt>
                <c:pt idx="21">
                  <c:v>05/06-2</c:v>
                </c:pt>
                <c:pt idx="22">
                  <c:v>06/06-1</c:v>
                </c:pt>
                <c:pt idx="23">
                  <c:v>06/06-2</c:v>
                </c:pt>
                <c:pt idx="24">
                  <c:v>07/06-1</c:v>
                </c:pt>
                <c:pt idx="25">
                  <c:v>07/06-2</c:v>
                </c:pt>
                <c:pt idx="26">
                  <c:v>08/06-1</c:v>
                </c:pt>
                <c:pt idx="27">
                  <c:v>08/06-2</c:v>
                </c:pt>
                <c:pt idx="28">
                  <c:v>09/06-1</c:v>
                </c:pt>
                <c:pt idx="29">
                  <c:v>09/06-2</c:v>
                </c:pt>
                <c:pt idx="30">
                  <c:v>10/06-1</c:v>
                </c:pt>
                <c:pt idx="31">
                  <c:v>10/06-2</c:v>
                </c:pt>
                <c:pt idx="32">
                  <c:v>11/06-1</c:v>
                </c:pt>
                <c:pt idx="33">
                  <c:v>11/06-2</c:v>
                </c:pt>
                <c:pt idx="34">
                  <c:v>12/06-1</c:v>
                </c:pt>
                <c:pt idx="35">
                  <c:v>12/06-2</c:v>
                </c:pt>
                <c:pt idx="36">
                  <c:v>13/06-1</c:v>
                </c:pt>
              </c:strCache>
            </c:strRef>
          </c:cat>
          <c:val>
            <c:numRef>
              <c:f>LA!$J$2:$J$75</c:f>
              <c:numCache>
                <c:formatCode>0%</c:formatCode>
                <c:ptCount val="74"/>
                <c:pt idx="0">
                  <c:v>0.28245614035087718</c:v>
                </c:pt>
                <c:pt idx="1">
                  <c:v>0.28245614035087718</c:v>
                </c:pt>
                <c:pt idx="2">
                  <c:v>0.28245614035087718</c:v>
                </c:pt>
                <c:pt idx="3">
                  <c:v>0.28245614035087718</c:v>
                </c:pt>
                <c:pt idx="4">
                  <c:v>0.28245614035087718</c:v>
                </c:pt>
                <c:pt idx="5">
                  <c:v>0.28245614035087718</c:v>
                </c:pt>
                <c:pt idx="6">
                  <c:v>0.28245614035087718</c:v>
                </c:pt>
                <c:pt idx="7">
                  <c:v>0.28245614035087718</c:v>
                </c:pt>
                <c:pt idx="8">
                  <c:v>0.28245614035087718</c:v>
                </c:pt>
                <c:pt idx="9">
                  <c:v>0.28245614035087718</c:v>
                </c:pt>
                <c:pt idx="10">
                  <c:v>0.28245614035087718</c:v>
                </c:pt>
                <c:pt idx="11">
                  <c:v>0.28245614035087718</c:v>
                </c:pt>
                <c:pt idx="12">
                  <c:v>0.28245614035087718</c:v>
                </c:pt>
                <c:pt idx="13">
                  <c:v>0.28245614035087718</c:v>
                </c:pt>
                <c:pt idx="14">
                  <c:v>0.28245614035087718</c:v>
                </c:pt>
                <c:pt idx="15">
                  <c:v>0.28245614035087718</c:v>
                </c:pt>
                <c:pt idx="16">
                  <c:v>0.28245614035087718</c:v>
                </c:pt>
                <c:pt idx="17">
                  <c:v>0.28245614035087718</c:v>
                </c:pt>
                <c:pt idx="18">
                  <c:v>0.28245614035087718</c:v>
                </c:pt>
                <c:pt idx="19">
                  <c:v>0.28245614035087718</c:v>
                </c:pt>
                <c:pt idx="20">
                  <c:v>0.28245614035087718</c:v>
                </c:pt>
                <c:pt idx="21">
                  <c:v>0.28245614035087718</c:v>
                </c:pt>
                <c:pt idx="22">
                  <c:v>0.28245614035087718</c:v>
                </c:pt>
                <c:pt idx="23">
                  <c:v>0.28245614035087718</c:v>
                </c:pt>
                <c:pt idx="24">
                  <c:v>0.28245614035087718</c:v>
                </c:pt>
                <c:pt idx="25">
                  <c:v>0.28245614035087718</c:v>
                </c:pt>
                <c:pt idx="26">
                  <c:v>0.28245614035087718</c:v>
                </c:pt>
                <c:pt idx="27">
                  <c:v>0.28245614035087718</c:v>
                </c:pt>
                <c:pt idx="28">
                  <c:v>0.28245614035087718</c:v>
                </c:pt>
                <c:pt idx="29">
                  <c:v>0.28245614035087718</c:v>
                </c:pt>
                <c:pt idx="30">
                  <c:v>0.28245614035087718</c:v>
                </c:pt>
                <c:pt idx="31">
                  <c:v>0.28245614035087718</c:v>
                </c:pt>
                <c:pt idx="32">
                  <c:v>0.28245614035087718</c:v>
                </c:pt>
                <c:pt idx="33">
                  <c:v>0.28245614035087718</c:v>
                </c:pt>
                <c:pt idx="34">
                  <c:v>0.28245614035087718</c:v>
                </c:pt>
                <c:pt idx="35">
                  <c:v>0.28245614035087718</c:v>
                </c:pt>
                <c:pt idx="36">
                  <c:v>0.28245614035087718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EA-4A8A-8F69-2BA48ED39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92424"/>
        <c:axId val="1005799264"/>
      </c:lineChart>
      <c:catAx>
        <c:axId val="100579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99264"/>
        <c:crosses val="autoZero"/>
        <c:auto val="1"/>
        <c:lblAlgn val="ctr"/>
        <c:lblOffset val="100"/>
        <c:noMultiLvlLbl val="0"/>
      </c:catAx>
      <c:valAx>
        <c:axId val="10057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924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815340</xdr:colOff>
      <xdr:row>12</xdr:row>
      <xdr:rowOff>54122</xdr:rowOff>
    </xdr:from>
    <xdr:to>
      <xdr:col>11</xdr:col>
      <xdr:colOff>822959</xdr:colOff>
      <xdr:row>34</xdr:row>
      <xdr:rowOff>171692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947737</xdr:colOff>
      <xdr:row>41</xdr:row>
      <xdr:rowOff>76200</xdr:rowOff>
    </xdr:from>
    <xdr:to>
      <xdr:col>19</xdr:col>
      <xdr:colOff>28575</xdr:colOff>
      <xdr:row>61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376236</xdr:colOff>
      <xdr:row>17</xdr:row>
      <xdr:rowOff>42862</xdr:rowOff>
    </xdr:from>
    <xdr:to>
      <xdr:col>15</xdr:col>
      <xdr:colOff>561974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173934</xdr:colOff>
      <xdr:row>11</xdr:row>
      <xdr:rowOff>16566</xdr:rowOff>
    </xdr:from>
    <xdr:to>
      <xdr:col>26</xdr:col>
      <xdr:colOff>463827</xdr:colOff>
      <xdr:row>28</xdr:row>
      <xdr:rowOff>143496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1366835</xdr:colOff>
      <xdr:row>15</xdr:row>
      <xdr:rowOff>138111</xdr:rowOff>
    </xdr:from>
    <xdr:to>
      <xdr:col>16</xdr:col>
      <xdr:colOff>114299</xdr:colOff>
      <xdr:row>35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447676</xdr:colOff>
      <xdr:row>10</xdr:row>
      <xdr:rowOff>52387</xdr:rowOff>
    </xdr:from>
    <xdr:to>
      <xdr:col>24</xdr:col>
      <xdr:colOff>504826</xdr:colOff>
      <xdr:row>26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20</xdr:row>
      <xdr:rowOff>166686</xdr:rowOff>
    </xdr:from>
    <xdr:to>
      <xdr:col>17</xdr:col>
      <xdr:colOff>323850</xdr:colOff>
      <xdr:row>38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1176336</xdr:colOff>
      <xdr:row>22</xdr:row>
      <xdr:rowOff>71436</xdr:rowOff>
    </xdr:from>
    <xdr:to>
      <xdr:col>16</xdr:col>
      <xdr:colOff>600075</xdr:colOff>
      <xdr:row>42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30</xdr:row>
      <xdr:rowOff>85725</xdr:rowOff>
    </xdr:from>
    <xdr:to>
      <xdr:col>12</xdr:col>
      <xdr:colOff>323850</xdr:colOff>
      <xdr:row>48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381001</xdr:colOff>
      <xdr:row>6</xdr:row>
      <xdr:rowOff>9525</xdr:rowOff>
    </xdr:from>
    <xdr:to>
      <xdr:col>28</xdr:col>
      <xdr:colOff>400052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1826935</xdr:colOff>
      <xdr:row>5</xdr:row>
      <xdr:rowOff>173936</xdr:rowOff>
    </xdr:from>
    <xdr:to>
      <xdr:col>21</xdr:col>
      <xdr:colOff>604630</xdr:colOff>
      <xdr:row>19</xdr:row>
      <xdr:rowOff>48823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995361</xdr:colOff>
      <xdr:row>5</xdr:row>
      <xdr:rowOff>95249</xdr:rowOff>
    </xdr:from>
    <xdr:to>
      <xdr:col>17</xdr:col>
      <xdr:colOff>266700</xdr:colOff>
      <xdr:row>25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1051033</xdr:colOff>
      <xdr:row>28</xdr:row>
      <xdr:rowOff>5094</xdr:rowOff>
    </xdr:from>
    <xdr:to>
      <xdr:col>20</xdr:col>
      <xdr:colOff>141657</xdr:colOff>
      <xdr:row>49</xdr:row>
      <xdr:rowOff>105108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9"/>
  <sheetViews>
    <sheetView tabSelected="1" zoomScaleNormal="100" workbookViewId="0">
      <selection activeCell="D9" sqref="D9"/>
    </sheetView>
  </sheetViews>
  <sheetFormatPr defaultColWidth="12.44140625" defaultRowHeight="14.4" x14ac:dyDescent="0.3"/>
  <cols>
    <col min="1" max="1" width="30.6640625" style="5" customWidth="1"/>
    <col min="2" max="12" width="12.44140625" style="5" customWidth="1"/>
    <col min="13" max="16384" width="12.44140625" style="5"/>
  </cols>
  <sheetData>
    <row r="1" spans="1:13" ht="18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3">
      <c r="A3" s="4" t="s">
        <v>14</v>
      </c>
      <c r="B3" s="9">
        <v>0.27450980392156871</v>
      </c>
      <c r="C3" s="9">
        <v>0.39529411764705891</v>
      </c>
      <c r="D3" s="9">
        <v>0.39529411764705891</v>
      </c>
      <c r="E3" s="9">
        <v>0.24411764705882349</v>
      </c>
      <c r="F3" s="9">
        <v>0.46588235294117653</v>
      </c>
      <c r="G3" s="9">
        <v>0.67764705882352938</v>
      </c>
      <c r="H3" s="9">
        <v>0.73411764705882354</v>
      </c>
      <c r="I3" s="9">
        <v>0.67764705882352938</v>
      </c>
      <c r="J3" s="9">
        <v>0.81882352941176462</v>
      </c>
      <c r="K3" s="9">
        <v>0.94588235294117651</v>
      </c>
      <c r="L3" s="9">
        <v>0.81882352941176473</v>
      </c>
      <c r="M3" s="9">
        <v>0.83294117647058818</v>
      </c>
    </row>
    <row r="4" spans="1:13" x14ac:dyDescent="0.3">
      <c r="A4" s="4" t="s">
        <v>15</v>
      </c>
      <c r="B4" s="8">
        <f>$B7/SUM(B$7:B$9)</f>
        <v>0.22466026220198035</v>
      </c>
      <c r="C4" s="8">
        <f>$C7/SUM(C$7:C$9)</f>
        <v>0.3409736270670552</v>
      </c>
      <c r="D4" s="8">
        <f>$D7/SUM(D$7:D$9)</f>
        <v>0.24433168261864049</v>
      </c>
      <c r="E4" s="8">
        <f>$E7/SUM(E$7:E$9)</f>
        <v>0.2034812590368146</v>
      </c>
      <c r="F4" s="8">
        <f>$F7/SUM(F$7:F$9)</f>
        <v>0.30300160743558319</v>
      </c>
      <c r="G4" s="8">
        <f t="shared" ref="G4:M6" si="0">G7/SUM(G$7:G$9)</f>
        <v>0.49192470483403877</v>
      </c>
      <c r="H4" s="8">
        <f t="shared" si="0"/>
        <v>0.5541903135158962</v>
      </c>
      <c r="I4" s="8">
        <f t="shared" si="0"/>
        <v>0.45992774718529689</v>
      </c>
      <c r="J4" s="8">
        <f t="shared" si="0"/>
        <v>0.59690363787836709</v>
      </c>
      <c r="K4" s="8">
        <f t="shared" si="0"/>
        <v>0.68356332072112169</v>
      </c>
      <c r="L4" s="8">
        <f t="shared" si="0"/>
        <v>0.49966534042315847</v>
      </c>
      <c r="M4" s="8">
        <f t="shared" si="0"/>
        <v>0.6062632341468851</v>
      </c>
    </row>
    <row r="5" spans="1:13" x14ac:dyDescent="0.3">
      <c r="A5" s="4" t="s">
        <v>16</v>
      </c>
      <c r="B5" s="8">
        <f>$B8/SUM(B$7:B$9)</f>
        <v>0.2292700016595062</v>
      </c>
      <c r="C5" s="8">
        <f>$C8/SUM(C$7:C$9)</f>
        <v>0.28150925186986137</v>
      </c>
      <c r="D5" s="8">
        <f>$D8/SUM(D$7:D$9)</f>
        <v>0.37293198019142371</v>
      </c>
      <c r="E5" s="8">
        <f>$E8/SUM(E$7:E$9)</f>
        <v>0.13029696363029697</v>
      </c>
      <c r="F5" s="8">
        <f>$F8/SUM(F$7:F$9)</f>
        <v>0.35155889421164038</v>
      </c>
      <c r="G5" s="8">
        <f t="shared" si="0"/>
        <v>0.18901759857429271</v>
      </c>
      <c r="H5" s="8">
        <f t="shared" si="0"/>
        <v>0.43458317262659102</v>
      </c>
      <c r="I5" s="8">
        <f t="shared" si="0"/>
        <v>0.41825961909438464</v>
      </c>
      <c r="J5" s="8">
        <f t="shared" si="0"/>
        <v>0.37921410719244653</v>
      </c>
      <c r="K5" s="8">
        <f t="shared" si="0"/>
        <v>5.1997551747162252E-2</v>
      </c>
      <c r="L5" s="8">
        <f t="shared" si="0"/>
        <v>0.31088015468709329</v>
      </c>
      <c r="M5" s="8">
        <f t="shared" si="0"/>
        <v>0.17090159366989857</v>
      </c>
    </row>
    <row r="6" spans="1:13" x14ac:dyDescent="0.3">
      <c r="A6" s="4" t="s">
        <v>17</v>
      </c>
      <c r="B6" s="8">
        <f>$B9/SUM(B$7:B$9)</f>
        <v>0.54606973613851351</v>
      </c>
      <c r="C6" s="8">
        <f>$C9/SUM(C$7:C$9)</f>
        <v>0.37751712106308344</v>
      </c>
      <c r="D6" s="8">
        <f>$D9/SUM(D$7:D$9)</f>
        <v>0.38273633718993583</v>
      </c>
      <c r="E6" s="8">
        <f>$E9/SUM(E$7:E$9)</f>
        <v>0.66622177733288845</v>
      </c>
      <c r="F6" s="8">
        <f>$F9/SUM(F$7:F$9)</f>
        <v>0.34543949835277643</v>
      </c>
      <c r="G6" s="8">
        <f t="shared" si="0"/>
        <v>0.31905769659166855</v>
      </c>
      <c r="H6" s="8">
        <f t="shared" si="0"/>
        <v>1.1226513857512811E-2</v>
      </c>
      <c r="I6" s="8">
        <f t="shared" si="0"/>
        <v>0.12181263372031848</v>
      </c>
      <c r="J6" s="8">
        <f t="shared" si="0"/>
        <v>2.3882254929186338E-2</v>
      </c>
      <c r="K6" s="8">
        <f t="shared" si="0"/>
        <v>0.264439127531716</v>
      </c>
      <c r="L6" s="8">
        <f t="shared" si="0"/>
        <v>0.18945450488974827</v>
      </c>
      <c r="M6" s="8">
        <f t="shared" si="0"/>
        <v>0.22283517218321633</v>
      </c>
    </row>
    <row r="7" spans="1:13" x14ac:dyDescent="0.3">
      <c r="A7" s="4" t="s">
        <v>18</v>
      </c>
      <c r="B7" s="7">
        <f>SUM(LA!$E$2:$E$53)</f>
        <v>12184</v>
      </c>
      <c r="C7" s="7">
        <f>SUM(MA!$E$2:$E$53)</f>
        <v>18372</v>
      </c>
      <c r="D7" s="7">
        <f>SUM(BJ!$E$2:$E$53)</f>
        <v>22005</v>
      </c>
      <c r="E7" s="7">
        <f>SUM(GC!$E$2:$E$53)</f>
        <v>7318</v>
      </c>
      <c r="F7" s="7">
        <f>SUM(GS!$E$2:$E$53)</f>
        <v>38077</v>
      </c>
      <c r="G7" s="7">
        <f>SUM(GR!$E$2:$E$53)</f>
        <v>17666</v>
      </c>
      <c r="H7" s="7">
        <f>SUM(EN!$E$2:$E$53)</f>
        <v>40232</v>
      </c>
      <c r="I7" s="7">
        <f>SUM(GJ!$E$2:$E$53)</f>
        <v>13113</v>
      </c>
      <c r="J7" s="7">
        <f>SUM(EW!$E$2:$E$53)</f>
        <v>42989</v>
      </c>
      <c r="K7" s="7">
        <f>SUM(GP!$E$2:$E$53)</f>
        <v>24570</v>
      </c>
      <c r="L7" s="7">
        <f>SUM(MC!$E$2:$E$53)</f>
        <v>26875</v>
      </c>
      <c r="M7" s="7">
        <f>SUM(LN!$E$2:$E$53)</f>
        <v>21760</v>
      </c>
    </row>
    <row r="8" spans="1:13" x14ac:dyDescent="0.3">
      <c r="A8" s="4" t="s">
        <v>19</v>
      </c>
      <c r="B8" s="7">
        <f>SUM(LA!$D$2:$D$53)</f>
        <v>12434</v>
      </c>
      <c r="C8" s="7">
        <f>SUM(MA!$D$2:$D$53)</f>
        <v>15168</v>
      </c>
      <c r="D8" s="7">
        <f>SUM(BJ!$D$2:$D$53)</f>
        <v>33587</v>
      </c>
      <c r="E8" s="7">
        <f>SUM(GC!$D$2:$D$53)</f>
        <v>4686</v>
      </c>
      <c r="F8" s="7">
        <f>SUM(GS!$D$2:$D$53)</f>
        <v>44179</v>
      </c>
      <c r="G8" s="7">
        <f>SUM(GR!$D$2:$D$53)</f>
        <v>6788</v>
      </c>
      <c r="H8" s="7">
        <f>SUM(EN!$D$2:$D$53)</f>
        <v>31549</v>
      </c>
      <c r="I8" s="7">
        <f>SUM(GJ!$D$2:$D$53)</f>
        <v>11925</v>
      </c>
      <c r="J8" s="7">
        <f>SUM(EW!$D$2:$D$53)</f>
        <v>27311</v>
      </c>
      <c r="K8" s="7">
        <f>SUM(GP!$D$2:$D$53)</f>
        <v>1869</v>
      </c>
      <c r="L8" s="7">
        <f>SUM(MC!$D$2:$D$53)</f>
        <v>16721</v>
      </c>
      <c r="M8" s="7">
        <f>SUM(LN!$D$2:$D$53)</f>
        <v>6134</v>
      </c>
    </row>
    <row r="9" spans="1:13" x14ac:dyDescent="0.3">
      <c r="A9" s="4" t="s">
        <v>20</v>
      </c>
      <c r="B9" s="7">
        <f>SUM(LA!$F$2:$F$53)</f>
        <v>29615</v>
      </c>
      <c r="C9" s="7">
        <f>SUM(MA!$F$2:$F$53)</f>
        <v>20341</v>
      </c>
      <c r="D9" s="7">
        <f>SUM(BJ!$F$2:$F$53)</f>
        <v>34470</v>
      </c>
      <c r="E9" s="7">
        <f>SUM(GC!$F$2:$F$53)</f>
        <v>23960</v>
      </c>
      <c r="F9" s="7">
        <f>SUM(GS!$F$2:$F$53)</f>
        <v>43410</v>
      </c>
      <c r="G9" s="7">
        <f>SUM(GR!$F$2:$F$53)</f>
        <v>11458</v>
      </c>
      <c r="H9" s="7">
        <f>SUM(EN!$F$2:$F$53)</f>
        <v>815</v>
      </c>
      <c r="I9" s="7">
        <f>SUM(GJ!$F$2:$F$53)</f>
        <v>3473</v>
      </c>
      <c r="J9" s="7">
        <f>SUM(EW!$F$2:$F$53)</f>
        <v>1720</v>
      </c>
      <c r="K9" s="7">
        <f>SUM(GP!$F$2:$F$53)</f>
        <v>9505</v>
      </c>
      <c r="L9" s="7">
        <f>SUM(MC!$F$2:$F$53)</f>
        <v>10190</v>
      </c>
      <c r="M9" s="7">
        <f>SUM(LN!$F$2:$F$53)</f>
        <v>7998</v>
      </c>
    </row>
  </sheetData>
  <mergeCells count="1">
    <mergeCell ref="A1:M1"/>
  </mergeCells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327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9" width="11.5546875" customWidth="1"/>
    <col min="10" max="10" width="14.33203125" customWidth="1"/>
    <col min="11" max="11" width="8.33203125" bestFit="1" customWidth="1"/>
    <col min="12" max="12" width="11.5546875" bestFit="1" customWidth="1"/>
    <col min="13" max="13" width="10" bestFit="1" customWidth="1"/>
    <col min="15" max="15" width="3" bestFit="1" customWidth="1"/>
    <col min="16" max="17" width="10.88671875" bestFit="1" customWidth="1"/>
    <col min="18" max="18" width="34.109375" bestFit="1" customWidth="1"/>
    <col min="19" max="19" width="30.5546875" bestFit="1" customWidth="1"/>
    <col min="20" max="20" width="22.6640625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</row>
    <row r="2" spans="1:20" x14ac:dyDescent="0.3">
      <c r="A2">
        <v>1</v>
      </c>
      <c r="B2" t="s">
        <v>33</v>
      </c>
      <c r="C2" t="s">
        <v>34</v>
      </c>
      <c r="D2">
        <v>718</v>
      </c>
      <c r="E2">
        <v>1371</v>
      </c>
      <c r="F2">
        <v>802</v>
      </c>
      <c r="H2" t="s">
        <v>35</v>
      </c>
      <c r="I2" s="1">
        <v>0.73411764705882354</v>
      </c>
      <c r="J2" s="1">
        <v>0.72252631578947379</v>
      </c>
      <c r="K2" s="1">
        <f>IFERROR(SUMIFS(S:S,P:P,"*/01/2026")/(SUMIFS(R:R,P:P,"*/01/2026")+SUMIFS(S:S,P:P,"*/01/2026")+SUMIFS(T:T,P:P,"*/01/2026")),"")</f>
        <v>0.45989745776022617</v>
      </c>
      <c r="L2" s="1">
        <f>IFERROR(SUMIFS(R:R,P:P,"*/01/2026")/(SUMIFS(R:R,P:P,"*/01/2026")+SUMIFS(S:S,P:P,"*/01/2026")+SUMIFS(T:T,P:P,"*/01/2026")),"")</f>
        <v>0.38261493930486684</v>
      </c>
      <c r="M2" s="1">
        <f>IFERROR(SUMIFS(T:T,P:P,"*/01/2026")/(SUMIFS(R:R,P:P,"*/01/2026")+SUMIFS(S:S,P:P,"*/01/2026")+SUMIFS(T:T,P:P,"*/01/2026")),"")</f>
        <v>0.15748760293490699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2880</v>
      </c>
    </row>
    <row r="3" spans="1:20" x14ac:dyDescent="0.3">
      <c r="A3">
        <v>2</v>
      </c>
      <c r="B3" t="s">
        <v>33</v>
      </c>
      <c r="C3" t="s">
        <v>37</v>
      </c>
      <c r="D3">
        <v>864</v>
      </c>
      <c r="E3">
        <v>2046</v>
      </c>
      <c r="F3">
        <v>0</v>
      </c>
      <c r="H3" t="s">
        <v>38</v>
      </c>
      <c r="I3" s="1">
        <v>0.73411764705882354</v>
      </c>
      <c r="J3" s="1">
        <v>0.72252631578947379</v>
      </c>
      <c r="K3" s="1">
        <f>IFERROR(SUMIFS(S:S,P:P,"*/02/2026")/(SUMIFS(R:R,P:P,"*/02/2026")+SUMIFS(S:S,P:P,"*/02/2026")+SUMIFS(T:T,P:P,"*/02/2026")),"")</f>
        <v>0.34446556640456233</v>
      </c>
      <c r="L3" s="1">
        <f>IFERROR(SUMIFS(R:R,P:P,"*/02/2026")/(SUMIFS(R:R,P:P,"*/02/2026")+SUMIFS(S:S,P:P,"*/02/2026")+SUMIFS(T:T,P:P,"*/02/2026")),"")</f>
        <v>0.26050166026835864</v>
      </c>
      <c r="M3" s="1">
        <f>IFERROR(SUMIFS(T:T,P:P,"*/02/2026")/(SUMIFS(R:R,P:P,"*/02/2026")+SUMIFS(S:S,P:P,"*/02/2026")+SUMIFS(T:T,P:P,"*/02/2026")),"")</f>
        <v>0.39503277332707903</v>
      </c>
      <c r="O3">
        <v>2</v>
      </c>
      <c r="P3" t="s">
        <v>36</v>
      </c>
      <c r="Q3" t="s">
        <v>37</v>
      </c>
      <c r="R3">
        <v>257</v>
      </c>
      <c r="S3">
        <v>5</v>
      </c>
      <c r="T3">
        <v>2614</v>
      </c>
    </row>
    <row r="4" spans="1:20" x14ac:dyDescent="0.3">
      <c r="A4">
        <v>3</v>
      </c>
      <c r="B4" t="s">
        <v>39</v>
      </c>
      <c r="C4" t="s">
        <v>34</v>
      </c>
      <c r="D4">
        <v>888</v>
      </c>
      <c r="E4">
        <v>2017</v>
      </c>
      <c r="F4">
        <v>0</v>
      </c>
      <c r="H4" t="s">
        <v>40</v>
      </c>
      <c r="I4" s="1">
        <v>0.73411764705882354</v>
      </c>
      <c r="J4" s="1">
        <v>0.72252631578947379</v>
      </c>
      <c r="K4" s="1">
        <f>IFERROR(SUMIFS(S:S,P:P,"*/03/2026")/(SUMIFS(R:R,P:P,"*/03/2026")+SUMIFS(S:S,P:P,"*/03/2026")+SUMIFS(T:T,P:P,"*/03/2026")),"")</f>
        <v>0.5085760806530758</v>
      </c>
      <c r="L4" s="1">
        <f>IFERROR(SUMIFS(R:R,P:P,"*/03/2026")/(SUMIFS(R:R,P:P,"*/03/2026")+SUMIFS(S:S,P:P,"*/03/2026")+SUMIFS(T:T,P:P,"*/03/2026")),"")</f>
        <v>0.3962004282464201</v>
      </c>
      <c r="M4" s="1">
        <f>IFERROR(SUMIFS(T:T,P:P,"*/03/2026")/(SUMIFS(R:R,P:P,"*/03/2026")+SUMIFS(S:S,P:P,"*/03/2026")+SUMIFS(T:T,P:P,"*/03/2026")),"")</f>
        <v>9.5223491100504085E-2</v>
      </c>
      <c r="O4">
        <v>3</v>
      </c>
      <c r="P4" t="s">
        <v>41</v>
      </c>
      <c r="Q4" t="s">
        <v>34</v>
      </c>
      <c r="R4">
        <v>1188</v>
      </c>
      <c r="S4">
        <v>1721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965</v>
      </c>
      <c r="E5">
        <v>1938</v>
      </c>
      <c r="F5">
        <v>0</v>
      </c>
      <c r="H5" t="s">
        <v>42</v>
      </c>
      <c r="I5" s="1">
        <v>0.73411764705882354</v>
      </c>
      <c r="J5" s="1">
        <v>0.72252631578947379</v>
      </c>
      <c r="K5" s="1">
        <f>IFERROR(SUMIFS(S:S,P:P,"*/04/2026")/(SUMIFS(R:R,P:P,"*/04/2026")+SUMIFS(S:S,P:P,"*/04/2026")+SUMIFS(T:T,P:P,"*/04/2026")),"")</f>
        <v>0.49145343357013127</v>
      </c>
      <c r="L5" s="1">
        <f>IFERROR(SUMIFS(R:R,P:P,"*/04/2026")/(SUMIFS(R:R,P:P,"*/04/2026")+SUMIFS(S:S,P:P,"*/04/2026")+SUMIFS(T:T,P:P,"*/04/2026")),"")</f>
        <v>0.38246890590155641</v>
      </c>
      <c r="M5" s="1">
        <f>IFERROR(SUMIFS(T:T,P:P,"*/04/2026")/(SUMIFS(R:R,P:P,"*/04/2026")+SUMIFS(S:S,P:P,"*/04/2026")+SUMIFS(T:T,P:P,"*/04/2026")),"")</f>
        <v>0.12607766052831229</v>
      </c>
      <c r="O5">
        <v>4</v>
      </c>
      <c r="P5" t="s">
        <v>41</v>
      </c>
      <c r="Q5" t="s">
        <v>37</v>
      </c>
      <c r="R5">
        <v>1075</v>
      </c>
      <c r="S5">
        <v>1397</v>
      </c>
      <c r="T5">
        <v>435</v>
      </c>
    </row>
    <row r="6" spans="1:20" x14ac:dyDescent="0.3">
      <c r="A6">
        <v>5</v>
      </c>
      <c r="B6" t="s">
        <v>43</v>
      </c>
      <c r="C6" t="s">
        <v>34</v>
      </c>
      <c r="D6">
        <v>1800</v>
      </c>
      <c r="E6">
        <v>1128</v>
      </c>
      <c r="F6">
        <v>0</v>
      </c>
      <c r="H6" t="s">
        <v>44</v>
      </c>
      <c r="I6" s="1">
        <v>0.73411764705882354</v>
      </c>
      <c r="J6" s="1">
        <v>0.72252631578947379</v>
      </c>
      <c r="K6" s="1">
        <f>IFERROR(SUMIFS(S:S,P:P,"*/05/2026")/(SUMIFS(R:R,P:P,"*/05/2026")+SUMIFS(S:S,P:P,"*/05/2026")+SUMIFS(T:T,P:P,"*/05/2026")),"")</f>
        <v>0.43639133020918458</v>
      </c>
      <c r="L6" s="1">
        <f>IFERROR(SUMIFS(R:R,P:P,"*/05/2026")/(SUMIFS(R:R,P:P,"*/05/2026")+SUMIFS(S:S,P:P,"*/05/2026")+SUMIFS(T:T,P:P,"*/05/2026")),"")</f>
        <v>0.41059208734275027</v>
      </c>
      <c r="M6" s="1">
        <f>IFERROR(SUMIFS(T:T,P:P,"*/05/2026")/(SUMIFS(R:R,P:P,"*/05/2026")+SUMIFS(S:S,P:P,"*/05/2026")+SUMIFS(T:T,P:P,"*/05/2026")),"")</f>
        <v>0.15301658244806521</v>
      </c>
      <c r="O6">
        <v>5</v>
      </c>
      <c r="P6" t="s">
        <v>45</v>
      </c>
      <c r="Q6" t="s">
        <v>37</v>
      </c>
      <c r="R6">
        <v>1228</v>
      </c>
      <c r="S6">
        <v>3109</v>
      </c>
      <c r="T6">
        <v>374</v>
      </c>
    </row>
    <row r="7" spans="1:20" x14ac:dyDescent="0.3">
      <c r="A7">
        <v>6</v>
      </c>
      <c r="B7" t="s">
        <v>43</v>
      </c>
      <c r="C7" t="s">
        <v>37</v>
      </c>
      <c r="D7">
        <v>1123</v>
      </c>
      <c r="E7">
        <v>1788</v>
      </c>
      <c r="F7">
        <v>0</v>
      </c>
      <c r="H7" t="s">
        <v>46</v>
      </c>
      <c r="I7" s="1">
        <v>0.73411764705882354</v>
      </c>
      <c r="J7" s="1">
        <v>0.72252631578947379</v>
      </c>
      <c r="K7" s="1">
        <f>IFERROR(SUMIFS(S:S,P:P,"*/06/2026")/(SUMIFS(R:R,P:P,"*/06/2026")+SUMIFS(S:S,P:P,"*/06/2026")+SUMIFS(T:T,P:P,"*/06/2026")),"")</f>
        <v>0.5541903135158962</v>
      </c>
      <c r="L7" s="1">
        <f>IFERROR(SUMIFS(R:R,P:P,"*/06/2026")/(SUMIFS(R:R,P:P,"*/06/2026")+SUMIFS(S:S,P:P,"*/06/2026")+SUMIFS(T:T,P:P,"*/06/2026")),"")</f>
        <v>0.43458317262659102</v>
      </c>
      <c r="M7" s="1">
        <f>IFERROR(SUMIFS(T:T,P:P,"*/06/2026")/(SUMIFS(R:R,P:P,"*/06/2026")+SUMIFS(S:S,P:P,"*/06/2026")+SUMIFS(T:T,P:P,"*/06/2026")),"")</f>
        <v>1.1226513857512811E-2</v>
      </c>
      <c r="O7">
        <v>6</v>
      </c>
      <c r="P7" t="s">
        <v>47</v>
      </c>
      <c r="Q7" t="s">
        <v>34</v>
      </c>
      <c r="R7">
        <v>33</v>
      </c>
      <c r="S7">
        <v>696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1651</v>
      </c>
      <c r="E8">
        <v>1246</v>
      </c>
      <c r="F8">
        <v>0</v>
      </c>
      <c r="H8" t="s">
        <v>49</v>
      </c>
      <c r="I8" s="1">
        <v>0.73411764705882354</v>
      </c>
      <c r="J8" s="1">
        <v>0.72252631578947379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455</v>
      </c>
      <c r="S8">
        <v>268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1363</v>
      </c>
      <c r="E9">
        <v>1559</v>
      </c>
      <c r="F9">
        <v>0</v>
      </c>
      <c r="H9" t="s">
        <v>50</v>
      </c>
      <c r="I9" s="1">
        <v>0.73411764705882354</v>
      </c>
      <c r="J9" s="1">
        <v>0.72252631578947379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987</v>
      </c>
      <c r="S9">
        <v>1330</v>
      </c>
      <c r="T9">
        <v>574</v>
      </c>
    </row>
    <row r="10" spans="1:20" x14ac:dyDescent="0.3">
      <c r="A10">
        <v>9</v>
      </c>
      <c r="B10" t="s">
        <v>52</v>
      </c>
      <c r="C10" t="s">
        <v>34</v>
      </c>
      <c r="D10">
        <v>1213</v>
      </c>
      <c r="E10">
        <v>1686</v>
      </c>
      <c r="F10">
        <v>0</v>
      </c>
      <c r="H10" t="s">
        <v>53</v>
      </c>
      <c r="I10" s="1">
        <v>0.73411764705882354</v>
      </c>
      <c r="J10" s="1">
        <v>0.72252631578947379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1385</v>
      </c>
      <c r="S10">
        <v>1481</v>
      </c>
      <c r="T10">
        <v>0</v>
      </c>
    </row>
    <row r="11" spans="1:20" x14ac:dyDescent="0.3">
      <c r="A11">
        <v>10</v>
      </c>
      <c r="B11" t="s">
        <v>52</v>
      </c>
      <c r="C11" t="s">
        <v>37</v>
      </c>
      <c r="D11">
        <v>1171</v>
      </c>
      <c r="E11">
        <v>1740</v>
      </c>
      <c r="F11">
        <v>0</v>
      </c>
      <c r="H11" t="s">
        <v>54</v>
      </c>
      <c r="I11" s="1">
        <v>0.73411764705882354</v>
      </c>
      <c r="J11" s="1">
        <v>0.72252631578947379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1460</v>
      </c>
      <c r="S11">
        <v>1428</v>
      </c>
      <c r="T11">
        <v>0</v>
      </c>
    </row>
    <row r="12" spans="1:20" x14ac:dyDescent="0.3">
      <c r="A12">
        <v>11</v>
      </c>
      <c r="B12" t="s">
        <v>56</v>
      </c>
      <c r="C12" t="s">
        <v>34</v>
      </c>
      <c r="D12">
        <v>1575</v>
      </c>
      <c r="E12">
        <v>1323</v>
      </c>
      <c r="F12">
        <v>0</v>
      </c>
      <c r="H12" t="s">
        <v>57</v>
      </c>
      <c r="I12" s="1">
        <v>0.73411764705882354</v>
      </c>
      <c r="J12" s="1">
        <v>0.72252631578947379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1269</v>
      </c>
      <c r="S12">
        <v>1625</v>
      </c>
      <c r="T12">
        <v>0</v>
      </c>
    </row>
    <row r="13" spans="1:20" x14ac:dyDescent="0.3">
      <c r="A13">
        <v>12</v>
      </c>
      <c r="B13" t="s">
        <v>56</v>
      </c>
      <c r="C13" t="s">
        <v>37</v>
      </c>
      <c r="D13">
        <v>1333</v>
      </c>
      <c r="E13">
        <v>1562</v>
      </c>
      <c r="F13">
        <v>0</v>
      </c>
      <c r="H13" t="s">
        <v>58</v>
      </c>
      <c r="I13" s="1">
        <v>0.73411764705882354</v>
      </c>
      <c r="J13" s="1">
        <v>0.72252631578947379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1074</v>
      </c>
      <c r="S13">
        <v>311</v>
      </c>
      <c r="T13">
        <v>1495</v>
      </c>
    </row>
    <row r="14" spans="1:20" x14ac:dyDescent="0.3">
      <c r="A14">
        <v>13</v>
      </c>
      <c r="B14" t="s">
        <v>60</v>
      </c>
      <c r="C14" t="s">
        <v>34</v>
      </c>
      <c r="D14">
        <v>1498</v>
      </c>
      <c r="E14">
        <v>1412</v>
      </c>
      <c r="F14">
        <v>0</v>
      </c>
      <c r="H14" t="str">
        <f>IF(B2="","",TEXT(B2,"dd/mm")&amp; "-" &amp;IF(UPPER(TRIM(C2))="CN",1,IF(UPPER(TRIM(C2))="CD",2,"")))</f>
        <v>01/06-1</v>
      </c>
      <c r="I14" s="1">
        <v>0.73411764705882354</v>
      </c>
      <c r="J14" s="1">
        <v>0.72252631578947379</v>
      </c>
      <c r="K14" s="1">
        <f t="shared" ref="K14:K45" si="0">IFERROR($E2/SUM($D2:$F2),"")</f>
        <v>0.47423037011414737</v>
      </c>
      <c r="L14" s="1">
        <f t="shared" ref="L14:L45" si="1">IFERROR($D2/SUM($D2:$F2),"")</f>
        <v>0.24835696990660672</v>
      </c>
      <c r="M14" s="1">
        <f t="shared" ref="M14:M45" si="2">IFERROR($F2/SUM($D2:$F2),"")</f>
        <v>0.27741265997924591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2880</v>
      </c>
    </row>
    <row r="15" spans="1:20" x14ac:dyDescent="0.3">
      <c r="A15">
        <v>14</v>
      </c>
      <c r="B15" t="s">
        <v>60</v>
      </c>
      <c r="C15" t="s">
        <v>37</v>
      </c>
      <c r="D15">
        <v>2601</v>
      </c>
      <c r="E15">
        <v>280</v>
      </c>
      <c r="F15">
        <v>0</v>
      </c>
      <c r="H15" t="str">
        <f t="shared" ref="H15:H46" si="3">IF(B3="","",TEXT(B3,"dd/mm") &amp; "-" &amp; IF(UPPER(TRIM(C3))="CN",1,IF(UPPER(TRIM(C3))="CD",2,"")))</f>
        <v>01/06-2</v>
      </c>
      <c r="I15" s="1">
        <v>0.73411764705882354</v>
      </c>
      <c r="J15" s="1">
        <v>0.72252631578947379</v>
      </c>
      <c r="K15" s="1">
        <f t="shared" si="0"/>
        <v>0.70309278350515458</v>
      </c>
      <c r="L15" s="1">
        <f t="shared" si="1"/>
        <v>0.29690721649484536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586</v>
      </c>
      <c r="S15">
        <v>1499</v>
      </c>
      <c r="T15">
        <v>811</v>
      </c>
    </row>
    <row r="16" spans="1:20" x14ac:dyDescent="0.3">
      <c r="A16">
        <v>15</v>
      </c>
      <c r="B16" t="s">
        <v>62</v>
      </c>
      <c r="C16" t="s">
        <v>34</v>
      </c>
      <c r="D16">
        <v>1743</v>
      </c>
      <c r="E16">
        <v>1167</v>
      </c>
      <c r="F16">
        <v>0</v>
      </c>
      <c r="H16" t="str">
        <f t="shared" si="3"/>
        <v>02/06-1</v>
      </c>
      <c r="I16" s="1">
        <v>0.73411764705882354</v>
      </c>
      <c r="J16" s="1">
        <v>0.72252631578947379</v>
      </c>
      <c r="K16" s="1">
        <f t="shared" si="0"/>
        <v>0.69432013769363166</v>
      </c>
      <c r="L16" s="1">
        <f t="shared" si="1"/>
        <v>0.30567986230636834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1410</v>
      </c>
      <c r="S16">
        <v>1484</v>
      </c>
      <c r="T16">
        <v>0</v>
      </c>
    </row>
    <row r="17" spans="1:20" x14ac:dyDescent="0.3">
      <c r="A17">
        <v>16</v>
      </c>
      <c r="B17" t="s">
        <v>62</v>
      </c>
      <c r="C17" t="s">
        <v>37</v>
      </c>
      <c r="D17">
        <v>625</v>
      </c>
      <c r="E17">
        <v>2283</v>
      </c>
      <c r="F17">
        <v>0</v>
      </c>
      <c r="H17" t="str">
        <f t="shared" si="3"/>
        <v>02/06-2</v>
      </c>
      <c r="I17" s="1">
        <v>0.73411764705882354</v>
      </c>
      <c r="J17" s="1">
        <v>0.72252631578947379</v>
      </c>
      <c r="K17" s="1">
        <f t="shared" si="0"/>
        <v>0.66758525663107127</v>
      </c>
      <c r="L17" s="1">
        <f t="shared" si="1"/>
        <v>0.33241474336892868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1646</v>
      </c>
      <c r="S17">
        <v>1253</v>
      </c>
      <c r="T17">
        <v>0</v>
      </c>
    </row>
    <row r="18" spans="1:20" x14ac:dyDescent="0.3">
      <c r="A18">
        <v>17</v>
      </c>
      <c r="B18" t="s">
        <v>64</v>
      </c>
      <c r="C18" t="s">
        <v>34</v>
      </c>
      <c r="D18">
        <v>1138</v>
      </c>
      <c r="E18">
        <v>1774</v>
      </c>
      <c r="F18">
        <v>0</v>
      </c>
      <c r="H18" t="str">
        <f t="shared" si="3"/>
        <v>03/06-1</v>
      </c>
      <c r="I18" s="1">
        <v>0.73411764705882354</v>
      </c>
      <c r="J18" s="1">
        <v>0.72252631578947379</v>
      </c>
      <c r="K18" s="1">
        <f t="shared" si="0"/>
        <v>0.38524590163934425</v>
      </c>
      <c r="L18" s="1">
        <f t="shared" si="1"/>
        <v>0.61475409836065575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1282</v>
      </c>
      <c r="S18">
        <v>1607</v>
      </c>
      <c r="T18">
        <v>0</v>
      </c>
    </row>
    <row r="19" spans="1:20" x14ac:dyDescent="0.3">
      <c r="A19">
        <v>18</v>
      </c>
      <c r="B19" t="s">
        <v>64</v>
      </c>
      <c r="C19" t="s">
        <v>37</v>
      </c>
      <c r="D19">
        <v>1418</v>
      </c>
      <c r="E19">
        <v>1481</v>
      </c>
      <c r="F19">
        <v>0</v>
      </c>
      <c r="H19" t="str">
        <f t="shared" si="3"/>
        <v>03/06-2</v>
      </c>
      <c r="I19" s="1">
        <v>0.73411764705882354</v>
      </c>
      <c r="J19" s="1">
        <v>0.72252631578947379</v>
      </c>
      <c r="K19" s="1">
        <f t="shared" si="0"/>
        <v>0.61422191686705596</v>
      </c>
      <c r="L19" s="1">
        <f t="shared" si="1"/>
        <v>0.38577808313294398</v>
      </c>
      <c r="M19" s="1">
        <f t="shared" si="2"/>
        <v>0</v>
      </c>
      <c r="O19">
        <v>18</v>
      </c>
      <c r="P19" t="s">
        <v>65</v>
      </c>
      <c r="Q19" t="s">
        <v>34</v>
      </c>
      <c r="R19">
        <v>1599</v>
      </c>
      <c r="S19">
        <v>1284</v>
      </c>
      <c r="T19">
        <v>7</v>
      </c>
    </row>
    <row r="20" spans="1:20" x14ac:dyDescent="0.3">
      <c r="A20">
        <v>19</v>
      </c>
      <c r="B20" t="s">
        <v>66</v>
      </c>
      <c r="C20" t="s">
        <v>34</v>
      </c>
      <c r="D20">
        <v>1337</v>
      </c>
      <c r="E20">
        <v>1577</v>
      </c>
      <c r="F20">
        <v>0</v>
      </c>
      <c r="H20" t="str">
        <f t="shared" si="3"/>
        <v>04/06-1</v>
      </c>
      <c r="I20" s="1">
        <v>0.73411764705882354</v>
      </c>
      <c r="J20" s="1">
        <v>0.72252631578947379</v>
      </c>
      <c r="K20" s="1">
        <f t="shared" si="0"/>
        <v>0.43010010355540212</v>
      </c>
      <c r="L20" s="1">
        <f t="shared" si="1"/>
        <v>0.56989989644459782</v>
      </c>
      <c r="M20" s="1">
        <f t="shared" si="2"/>
        <v>0</v>
      </c>
      <c r="O20">
        <v>19</v>
      </c>
      <c r="P20" t="s">
        <v>65</v>
      </c>
      <c r="Q20" t="s">
        <v>37</v>
      </c>
      <c r="R20">
        <v>0</v>
      </c>
      <c r="S20">
        <v>97</v>
      </c>
      <c r="T20">
        <v>2782</v>
      </c>
    </row>
    <row r="21" spans="1:20" x14ac:dyDescent="0.3">
      <c r="A21">
        <v>20</v>
      </c>
      <c r="B21" t="s">
        <v>66</v>
      </c>
      <c r="C21" t="s">
        <v>37</v>
      </c>
      <c r="D21">
        <v>979</v>
      </c>
      <c r="E21">
        <v>1922</v>
      </c>
      <c r="F21">
        <v>0</v>
      </c>
      <c r="H21" t="str">
        <f t="shared" si="3"/>
        <v>04/06-2</v>
      </c>
      <c r="I21" s="1">
        <v>0.73411764705882354</v>
      </c>
      <c r="J21" s="1">
        <v>0.72252631578947379</v>
      </c>
      <c r="K21" s="1">
        <f t="shared" si="0"/>
        <v>0.53353867214236828</v>
      </c>
      <c r="L21" s="1">
        <f t="shared" si="1"/>
        <v>0.46646132785763178</v>
      </c>
      <c r="M21" s="1">
        <f t="shared" si="2"/>
        <v>0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2880</v>
      </c>
    </row>
    <row r="22" spans="1:20" x14ac:dyDescent="0.3">
      <c r="A22">
        <v>21</v>
      </c>
      <c r="B22" t="s">
        <v>68</v>
      </c>
      <c r="C22" t="s">
        <v>34</v>
      </c>
      <c r="D22">
        <v>1188</v>
      </c>
      <c r="E22">
        <v>1703</v>
      </c>
      <c r="F22">
        <v>0</v>
      </c>
      <c r="H22" t="str">
        <f t="shared" si="3"/>
        <v>05/06-1</v>
      </c>
      <c r="I22" s="1">
        <v>0.73411764705882354</v>
      </c>
      <c r="J22" s="1">
        <v>0.72252631578947379</v>
      </c>
      <c r="K22" s="1">
        <f t="shared" si="0"/>
        <v>0.58157985512245602</v>
      </c>
      <c r="L22" s="1">
        <f t="shared" si="1"/>
        <v>0.41842014487754398</v>
      </c>
      <c r="M22" s="1">
        <f t="shared" si="2"/>
        <v>0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2880</v>
      </c>
    </row>
    <row r="23" spans="1:20" x14ac:dyDescent="0.3">
      <c r="A23">
        <v>22</v>
      </c>
      <c r="B23" t="s">
        <v>68</v>
      </c>
      <c r="C23" t="s">
        <v>37</v>
      </c>
      <c r="D23">
        <v>1183</v>
      </c>
      <c r="E23">
        <v>1732</v>
      </c>
      <c r="F23">
        <v>0</v>
      </c>
      <c r="H23" t="str">
        <f t="shared" si="3"/>
        <v>05/06-2</v>
      </c>
      <c r="I23" s="1">
        <v>0.73411764705882354</v>
      </c>
      <c r="J23" s="1">
        <v>0.72252631578947379</v>
      </c>
      <c r="K23" s="1">
        <f t="shared" si="0"/>
        <v>0.5977327378907592</v>
      </c>
      <c r="L23" s="1">
        <f t="shared" si="1"/>
        <v>0.4022672621092408</v>
      </c>
      <c r="M23" s="1">
        <f t="shared" si="2"/>
        <v>0</v>
      </c>
      <c r="O23">
        <v>22</v>
      </c>
      <c r="P23" t="s">
        <v>69</v>
      </c>
      <c r="Q23" t="s">
        <v>34</v>
      </c>
      <c r="R23">
        <v>694</v>
      </c>
      <c r="S23">
        <v>1337</v>
      </c>
      <c r="T23">
        <v>862</v>
      </c>
    </row>
    <row r="24" spans="1:20" x14ac:dyDescent="0.3">
      <c r="A24">
        <v>23</v>
      </c>
      <c r="B24" t="s">
        <v>70</v>
      </c>
      <c r="C24" t="s">
        <v>34</v>
      </c>
      <c r="D24">
        <v>1394</v>
      </c>
      <c r="E24">
        <v>1502</v>
      </c>
      <c r="F24">
        <v>0</v>
      </c>
      <c r="H24" t="str">
        <f t="shared" si="3"/>
        <v>06/06-1</v>
      </c>
      <c r="I24" s="1">
        <v>0.73411764705882354</v>
      </c>
      <c r="J24" s="1">
        <v>0.72252631578947379</v>
      </c>
      <c r="K24" s="1">
        <f t="shared" si="0"/>
        <v>0.45652173913043476</v>
      </c>
      <c r="L24" s="1">
        <f t="shared" si="1"/>
        <v>0.54347826086956519</v>
      </c>
      <c r="M24" s="1">
        <f t="shared" si="2"/>
        <v>0</v>
      </c>
      <c r="O24">
        <v>23</v>
      </c>
      <c r="P24" t="s">
        <v>69</v>
      </c>
      <c r="Q24" t="s">
        <v>37</v>
      </c>
      <c r="R24">
        <v>1354</v>
      </c>
      <c r="S24">
        <v>1549</v>
      </c>
      <c r="T24">
        <v>0</v>
      </c>
    </row>
    <row r="25" spans="1:20" x14ac:dyDescent="0.3">
      <c r="A25">
        <v>24</v>
      </c>
      <c r="B25" t="s">
        <v>70</v>
      </c>
      <c r="C25" t="s">
        <v>37</v>
      </c>
      <c r="D25">
        <v>674</v>
      </c>
      <c r="E25">
        <v>2224</v>
      </c>
      <c r="F25">
        <v>0</v>
      </c>
      <c r="H25" t="str">
        <f t="shared" si="3"/>
        <v>06/06-2</v>
      </c>
      <c r="I25" s="1">
        <v>0.73411764705882354</v>
      </c>
      <c r="J25" s="1">
        <v>0.72252631578947379</v>
      </c>
      <c r="K25" s="1">
        <f t="shared" si="0"/>
        <v>0.53955094991364416</v>
      </c>
      <c r="L25" s="1">
        <f t="shared" si="1"/>
        <v>0.46044905008635578</v>
      </c>
      <c r="M25" s="1">
        <f t="shared" si="2"/>
        <v>0</v>
      </c>
      <c r="O25">
        <v>24</v>
      </c>
      <c r="P25" t="s">
        <v>71</v>
      </c>
      <c r="Q25" t="s">
        <v>34</v>
      </c>
      <c r="R25">
        <v>1616</v>
      </c>
      <c r="S25">
        <v>1282</v>
      </c>
      <c r="T25">
        <v>0</v>
      </c>
    </row>
    <row r="26" spans="1:20" x14ac:dyDescent="0.3">
      <c r="A26">
        <v>25</v>
      </c>
      <c r="B26" t="s">
        <v>72</v>
      </c>
      <c r="C26" t="s">
        <v>34</v>
      </c>
      <c r="D26">
        <v>1107</v>
      </c>
      <c r="E26">
        <v>1771</v>
      </c>
      <c r="F26">
        <v>13</v>
      </c>
      <c r="H26" t="str">
        <f t="shared" si="3"/>
        <v>07/06-1</v>
      </c>
      <c r="I26" s="1">
        <v>0.73411764705882354</v>
      </c>
      <c r="J26" s="1">
        <v>0.72252631578947379</v>
      </c>
      <c r="K26" s="1">
        <f t="shared" si="0"/>
        <v>0.4852233676975945</v>
      </c>
      <c r="L26" s="1">
        <f t="shared" si="1"/>
        <v>0.51477663230240545</v>
      </c>
      <c r="M26" s="1">
        <f t="shared" si="2"/>
        <v>0</v>
      </c>
      <c r="O26">
        <v>25</v>
      </c>
      <c r="P26" t="s">
        <v>71</v>
      </c>
      <c r="Q26" t="s">
        <v>37</v>
      </c>
      <c r="R26">
        <v>1074</v>
      </c>
      <c r="S26">
        <v>1818</v>
      </c>
      <c r="T26">
        <v>0</v>
      </c>
    </row>
    <row r="27" spans="1:20" x14ac:dyDescent="0.3">
      <c r="H27" t="str">
        <f t="shared" si="3"/>
        <v>07/06-2</v>
      </c>
      <c r="I27" s="1">
        <v>0.73411764705882354</v>
      </c>
      <c r="J27" s="1">
        <v>0.72252631578947379</v>
      </c>
      <c r="K27" s="1">
        <f t="shared" si="0"/>
        <v>9.7188476223533493E-2</v>
      </c>
      <c r="L27" s="1">
        <f t="shared" si="1"/>
        <v>0.90281152377646645</v>
      </c>
      <c r="M27" s="1">
        <f t="shared" si="2"/>
        <v>0</v>
      </c>
      <c r="O27">
        <v>26</v>
      </c>
      <c r="P27" t="s">
        <v>73</v>
      </c>
      <c r="Q27" t="s">
        <v>34</v>
      </c>
      <c r="R27">
        <v>1437</v>
      </c>
      <c r="S27">
        <v>1462</v>
      </c>
      <c r="T27">
        <v>0</v>
      </c>
    </row>
    <row r="28" spans="1:20" x14ac:dyDescent="0.3">
      <c r="H28" t="str">
        <f t="shared" si="3"/>
        <v>08/06-1</v>
      </c>
      <c r="I28" s="1">
        <v>0.73411764705882354</v>
      </c>
      <c r="J28" s="1">
        <v>0.72252631578947379</v>
      </c>
      <c r="K28" s="1">
        <f t="shared" si="0"/>
        <v>0.40103092783505156</v>
      </c>
      <c r="L28" s="1">
        <f t="shared" si="1"/>
        <v>0.59896907216494844</v>
      </c>
      <c r="M28" s="1">
        <f t="shared" si="2"/>
        <v>0</v>
      </c>
      <c r="O28">
        <v>27</v>
      </c>
      <c r="P28" t="s">
        <v>73</v>
      </c>
      <c r="Q28" t="s">
        <v>37</v>
      </c>
      <c r="R28">
        <v>834</v>
      </c>
      <c r="S28">
        <v>2054</v>
      </c>
      <c r="T28">
        <v>0</v>
      </c>
    </row>
    <row r="29" spans="1:20" x14ac:dyDescent="0.3">
      <c r="H29" t="str">
        <f t="shared" si="3"/>
        <v>08/06-2</v>
      </c>
      <c r="I29" s="1">
        <v>0.73411764705882354</v>
      </c>
      <c r="J29" s="1">
        <v>0.72252631578947379</v>
      </c>
      <c r="K29" s="1">
        <f t="shared" si="0"/>
        <v>0.78507565337001373</v>
      </c>
      <c r="L29" s="1">
        <f t="shared" si="1"/>
        <v>0.21492434662998625</v>
      </c>
      <c r="M29" s="1">
        <f t="shared" si="2"/>
        <v>0</v>
      </c>
      <c r="O29">
        <v>28</v>
      </c>
      <c r="P29" t="s">
        <v>74</v>
      </c>
      <c r="Q29" t="s">
        <v>34</v>
      </c>
      <c r="R29">
        <v>1399</v>
      </c>
      <c r="S29">
        <v>1499</v>
      </c>
      <c r="T29">
        <v>0</v>
      </c>
    </row>
    <row r="30" spans="1:20" x14ac:dyDescent="0.3">
      <c r="H30" t="str">
        <f t="shared" si="3"/>
        <v>09/06-1</v>
      </c>
      <c r="I30" s="1">
        <v>0.73411764705882354</v>
      </c>
      <c r="J30" s="1">
        <v>0.72252631578947379</v>
      </c>
      <c r="K30" s="1">
        <f t="shared" si="0"/>
        <v>0.60920329670329665</v>
      </c>
      <c r="L30" s="1">
        <f t="shared" si="1"/>
        <v>0.3907967032967033</v>
      </c>
      <c r="M30" s="1">
        <f t="shared" si="2"/>
        <v>0</v>
      </c>
      <c r="O30">
        <v>29</v>
      </c>
      <c r="P30" t="s">
        <v>74</v>
      </c>
      <c r="Q30" t="s">
        <v>37</v>
      </c>
      <c r="R30">
        <v>998</v>
      </c>
      <c r="S30">
        <v>1898</v>
      </c>
      <c r="T30">
        <v>0</v>
      </c>
    </row>
    <row r="31" spans="1:20" x14ac:dyDescent="0.3">
      <c r="H31" t="str">
        <f t="shared" si="3"/>
        <v>09/06-2</v>
      </c>
      <c r="I31" s="1">
        <v>0.73411764705882354</v>
      </c>
      <c r="J31" s="1">
        <v>0.72252631578947379</v>
      </c>
      <c r="K31" s="1">
        <f t="shared" si="0"/>
        <v>0.51086581579855117</v>
      </c>
      <c r="L31" s="1">
        <f t="shared" si="1"/>
        <v>0.48913418420144877</v>
      </c>
      <c r="M31" s="1">
        <f t="shared" si="2"/>
        <v>0</v>
      </c>
      <c r="O31">
        <v>30</v>
      </c>
      <c r="P31" t="s">
        <v>75</v>
      </c>
      <c r="Q31" t="s">
        <v>34</v>
      </c>
      <c r="R31">
        <v>1790</v>
      </c>
      <c r="S31">
        <v>1100</v>
      </c>
      <c r="T31">
        <v>0</v>
      </c>
    </row>
    <row r="32" spans="1:20" x14ac:dyDescent="0.3">
      <c r="H32" t="str">
        <f t="shared" si="3"/>
        <v>10/06-1</v>
      </c>
      <c r="I32" s="1">
        <v>0.73411764705882354</v>
      </c>
      <c r="J32" s="1">
        <v>0.72252631578947379</v>
      </c>
      <c r="K32" s="1">
        <f t="shared" si="0"/>
        <v>0.54118050789293071</v>
      </c>
      <c r="L32" s="1">
        <f t="shared" si="1"/>
        <v>0.45881949210706929</v>
      </c>
      <c r="M32" s="1">
        <f t="shared" si="2"/>
        <v>0</v>
      </c>
      <c r="O32">
        <v>31</v>
      </c>
      <c r="P32" t="s">
        <v>75</v>
      </c>
      <c r="Q32" t="s">
        <v>37</v>
      </c>
      <c r="R32">
        <v>933</v>
      </c>
      <c r="S32">
        <v>1974</v>
      </c>
      <c r="T32">
        <v>0</v>
      </c>
    </row>
    <row r="33" spans="8:20" x14ac:dyDescent="0.3">
      <c r="H33" t="str">
        <f t="shared" si="3"/>
        <v>10/06-2</v>
      </c>
      <c r="I33" s="1">
        <v>0.73411764705882354</v>
      </c>
      <c r="J33" s="1">
        <v>0.72252631578947379</v>
      </c>
      <c r="K33" s="1">
        <f t="shared" si="0"/>
        <v>0.66253016201309889</v>
      </c>
      <c r="L33" s="1">
        <f t="shared" si="1"/>
        <v>0.33746983798690106</v>
      </c>
      <c r="M33" s="1">
        <f t="shared" si="2"/>
        <v>0</v>
      </c>
      <c r="O33">
        <v>32</v>
      </c>
      <c r="P33" t="s">
        <v>76</v>
      </c>
      <c r="Q33" t="s">
        <v>34</v>
      </c>
      <c r="R33">
        <v>1191</v>
      </c>
      <c r="S33">
        <v>1706</v>
      </c>
      <c r="T33">
        <v>0</v>
      </c>
    </row>
    <row r="34" spans="8:20" x14ac:dyDescent="0.3">
      <c r="H34" t="str">
        <f t="shared" si="3"/>
        <v>11/06-1</v>
      </c>
      <c r="I34" s="1">
        <v>0.73411764705882354</v>
      </c>
      <c r="J34" s="1">
        <v>0.72252631578947379</v>
      </c>
      <c r="K34" s="1">
        <f t="shared" si="0"/>
        <v>0.58906952611553098</v>
      </c>
      <c r="L34" s="1">
        <f t="shared" si="1"/>
        <v>0.41093047388446902</v>
      </c>
      <c r="M34" s="1">
        <f t="shared" si="2"/>
        <v>0</v>
      </c>
      <c r="O34">
        <v>33</v>
      </c>
      <c r="P34" t="s">
        <v>76</v>
      </c>
      <c r="Q34" t="s">
        <v>37</v>
      </c>
      <c r="R34">
        <v>989</v>
      </c>
      <c r="S34">
        <v>1898</v>
      </c>
      <c r="T34">
        <v>0</v>
      </c>
    </row>
    <row r="35" spans="8:20" x14ac:dyDescent="0.3">
      <c r="H35" t="str">
        <f t="shared" si="3"/>
        <v>11/06-2</v>
      </c>
      <c r="I35" s="1">
        <v>0.73411764705882354</v>
      </c>
      <c r="J35" s="1">
        <v>0.72252631578947379</v>
      </c>
      <c r="K35" s="1">
        <f t="shared" si="0"/>
        <v>0.59416809605488852</v>
      </c>
      <c r="L35" s="1">
        <f t="shared" si="1"/>
        <v>0.40583190394511148</v>
      </c>
      <c r="M35" s="1">
        <f t="shared" si="2"/>
        <v>0</v>
      </c>
      <c r="O35">
        <v>34</v>
      </c>
      <c r="P35" t="s">
        <v>77</v>
      </c>
      <c r="Q35" t="s">
        <v>34</v>
      </c>
      <c r="R35">
        <v>1806</v>
      </c>
      <c r="S35">
        <v>1080</v>
      </c>
      <c r="T35">
        <v>0</v>
      </c>
    </row>
    <row r="36" spans="8:20" x14ac:dyDescent="0.3">
      <c r="H36" t="str">
        <f t="shared" si="3"/>
        <v>12/06-1</v>
      </c>
      <c r="I36" s="1">
        <v>0.73411764705882354</v>
      </c>
      <c r="J36" s="1">
        <v>0.72252631578947379</v>
      </c>
      <c r="K36" s="1">
        <f t="shared" si="0"/>
        <v>0.51864640883977897</v>
      </c>
      <c r="L36" s="1">
        <f t="shared" si="1"/>
        <v>0.48135359116022097</v>
      </c>
      <c r="M36" s="1">
        <f t="shared" si="2"/>
        <v>0</v>
      </c>
      <c r="O36">
        <v>35</v>
      </c>
      <c r="P36" t="s">
        <v>77</v>
      </c>
      <c r="Q36" t="s">
        <v>37</v>
      </c>
      <c r="R36">
        <v>1326</v>
      </c>
      <c r="S36">
        <v>351</v>
      </c>
      <c r="T36">
        <v>1207</v>
      </c>
    </row>
    <row r="37" spans="8:20" x14ac:dyDescent="0.3">
      <c r="H37" t="str">
        <f t="shared" si="3"/>
        <v>12/06-2</v>
      </c>
      <c r="I37" s="1">
        <v>0.73411764705882354</v>
      </c>
      <c r="J37" s="1">
        <v>0.72252631578947379</v>
      </c>
      <c r="K37" s="1">
        <f t="shared" si="0"/>
        <v>0.7674258109040718</v>
      </c>
      <c r="L37" s="1">
        <f t="shared" si="1"/>
        <v>0.23257418909592822</v>
      </c>
      <c r="M37" s="1">
        <f t="shared" si="2"/>
        <v>0</v>
      </c>
      <c r="O37">
        <v>36</v>
      </c>
      <c r="P37" t="s">
        <v>78</v>
      </c>
      <c r="Q37" t="s">
        <v>34</v>
      </c>
      <c r="R37">
        <v>1214</v>
      </c>
      <c r="S37">
        <v>1261</v>
      </c>
      <c r="T37">
        <v>410</v>
      </c>
    </row>
    <row r="38" spans="8:20" x14ac:dyDescent="0.3">
      <c r="H38" t="str">
        <f t="shared" si="3"/>
        <v>13/06-1</v>
      </c>
      <c r="I38" s="1">
        <v>0.73411764705882354</v>
      </c>
      <c r="J38" s="1">
        <v>0.72252631578947379</v>
      </c>
      <c r="K38" s="1">
        <f t="shared" si="0"/>
        <v>0.61259079903147695</v>
      </c>
      <c r="L38" s="1">
        <f t="shared" si="1"/>
        <v>0.38291248702870978</v>
      </c>
      <c r="M38" s="1">
        <f t="shared" si="2"/>
        <v>4.4967139398132136E-3</v>
      </c>
      <c r="O38">
        <v>37</v>
      </c>
      <c r="P38" t="s">
        <v>78</v>
      </c>
      <c r="Q38" t="s">
        <v>37</v>
      </c>
      <c r="R38">
        <v>993</v>
      </c>
      <c r="S38">
        <v>1905</v>
      </c>
      <c r="T38">
        <v>0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1428</v>
      </c>
      <c r="S39">
        <v>1455</v>
      </c>
      <c r="T39">
        <v>0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1355</v>
      </c>
      <c r="S40">
        <v>1531</v>
      </c>
      <c r="T40">
        <v>0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1433</v>
      </c>
      <c r="S41">
        <v>1456</v>
      </c>
      <c r="T41">
        <v>0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1256</v>
      </c>
      <c r="S42">
        <v>1632</v>
      </c>
      <c r="T42">
        <v>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1464</v>
      </c>
      <c r="S43">
        <v>1423</v>
      </c>
      <c r="T43">
        <v>0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1097</v>
      </c>
      <c r="S44">
        <v>1790</v>
      </c>
      <c r="T44">
        <v>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1489</v>
      </c>
      <c r="S45">
        <v>1417</v>
      </c>
      <c r="T45">
        <v>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1120</v>
      </c>
      <c r="S46">
        <v>1773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1541</v>
      </c>
      <c r="S47">
        <v>1352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1214</v>
      </c>
      <c r="S48">
        <v>1699</v>
      </c>
      <c r="T48">
        <v>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1672</v>
      </c>
      <c r="S49">
        <v>1214</v>
      </c>
      <c r="T49">
        <v>2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1962</v>
      </c>
      <c r="S50">
        <v>922</v>
      </c>
      <c r="T50">
        <v>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1499</v>
      </c>
      <c r="S51">
        <v>1401</v>
      </c>
      <c r="T51">
        <v>0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799</v>
      </c>
      <c r="S52">
        <v>2091</v>
      </c>
      <c r="T52">
        <v>0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1484</v>
      </c>
      <c r="S53">
        <v>1407</v>
      </c>
      <c r="T53">
        <v>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1346</v>
      </c>
      <c r="S54">
        <v>1571</v>
      </c>
      <c r="T54">
        <v>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1485</v>
      </c>
      <c r="S55">
        <v>1429</v>
      </c>
      <c r="T55">
        <v>0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1287</v>
      </c>
      <c r="S56">
        <v>1618</v>
      </c>
      <c r="T56">
        <v>0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1428</v>
      </c>
      <c r="S57">
        <v>1465</v>
      </c>
      <c r="T57">
        <v>0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1103</v>
      </c>
      <c r="S58">
        <v>1805</v>
      </c>
      <c r="T58">
        <v>0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1302</v>
      </c>
      <c r="S59">
        <v>1590</v>
      </c>
      <c r="T59">
        <v>0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1044</v>
      </c>
      <c r="S60">
        <v>1874</v>
      </c>
      <c r="T60">
        <v>0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1383</v>
      </c>
      <c r="S61">
        <v>1506</v>
      </c>
      <c r="T61">
        <v>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435</v>
      </c>
      <c r="S62">
        <v>1795</v>
      </c>
      <c r="T62">
        <v>662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609</v>
      </c>
      <c r="S63">
        <v>110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720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675</v>
      </c>
      <c r="S65">
        <v>1603</v>
      </c>
      <c r="T65">
        <v>609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1047</v>
      </c>
      <c r="S66">
        <v>1857</v>
      </c>
      <c r="T66">
        <v>0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1522</v>
      </c>
      <c r="S67">
        <v>1390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1544</v>
      </c>
      <c r="S68">
        <v>1355</v>
      </c>
      <c r="T68">
        <v>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1385</v>
      </c>
      <c r="S69">
        <v>1503</v>
      </c>
      <c r="T69">
        <v>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1125</v>
      </c>
      <c r="S70">
        <v>1758</v>
      </c>
      <c r="T70">
        <v>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1370</v>
      </c>
      <c r="S71">
        <v>1522</v>
      </c>
      <c r="T71">
        <v>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1237</v>
      </c>
      <c r="S72">
        <v>1659</v>
      </c>
      <c r="T72">
        <v>0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1387</v>
      </c>
      <c r="S73">
        <v>1505</v>
      </c>
      <c r="T73">
        <v>0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949</v>
      </c>
      <c r="S74">
        <v>1946</v>
      </c>
      <c r="T74">
        <v>0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1482</v>
      </c>
      <c r="S75">
        <v>1434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1303</v>
      </c>
      <c r="S76">
        <v>1581</v>
      </c>
      <c r="T76">
        <v>0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1435</v>
      </c>
      <c r="S77">
        <v>1447</v>
      </c>
      <c r="T77">
        <v>12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7</v>
      </c>
      <c r="S78">
        <v>117</v>
      </c>
      <c r="T78">
        <v>2755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768</v>
      </c>
      <c r="S79">
        <v>1293</v>
      </c>
      <c r="T79">
        <v>827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907</v>
      </c>
      <c r="S80">
        <v>2013</v>
      </c>
      <c r="T80">
        <v>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1516</v>
      </c>
      <c r="S81">
        <v>1412</v>
      </c>
      <c r="T81">
        <v>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1094</v>
      </c>
      <c r="S82">
        <v>1827</v>
      </c>
      <c r="T82">
        <v>0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1854</v>
      </c>
      <c r="S83">
        <v>1049</v>
      </c>
      <c r="T83">
        <v>0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870</v>
      </c>
      <c r="S84">
        <v>2029</v>
      </c>
      <c r="T84">
        <v>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1380</v>
      </c>
      <c r="S85">
        <v>1516</v>
      </c>
      <c r="T85">
        <v>0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1263</v>
      </c>
      <c r="S86">
        <v>1648</v>
      </c>
      <c r="T86">
        <v>0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1403</v>
      </c>
      <c r="S87">
        <v>1490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512</v>
      </c>
      <c r="S88">
        <v>1230</v>
      </c>
      <c r="T88">
        <v>1152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2880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2880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2880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2880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2880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2880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2880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2880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2880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2880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2880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2880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2880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2880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2880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2880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2880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2880</v>
      </c>
    </row>
    <row r="107" spans="9:20" x14ac:dyDescent="0.3">
      <c r="O107">
        <v>106</v>
      </c>
      <c r="P107" t="s">
        <v>113</v>
      </c>
      <c r="Q107" t="s">
        <v>34</v>
      </c>
      <c r="R107">
        <v>1123</v>
      </c>
      <c r="S107">
        <v>937</v>
      </c>
      <c r="T107">
        <v>837</v>
      </c>
    </row>
    <row r="108" spans="9:20" x14ac:dyDescent="0.3">
      <c r="O108">
        <v>107</v>
      </c>
      <c r="P108" t="s">
        <v>113</v>
      </c>
      <c r="Q108" t="s">
        <v>37</v>
      </c>
      <c r="R108">
        <v>910</v>
      </c>
      <c r="S108">
        <v>1706</v>
      </c>
      <c r="T108">
        <v>292</v>
      </c>
    </row>
    <row r="109" spans="9:20" x14ac:dyDescent="0.3">
      <c r="O109">
        <v>108</v>
      </c>
      <c r="P109" t="s">
        <v>114</v>
      </c>
      <c r="Q109" t="s">
        <v>34</v>
      </c>
      <c r="R109">
        <v>1218</v>
      </c>
      <c r="S109">
        <v>1305</v>
      </c>
      <c r="T109">
        <v>375</v>
      </c>
    </row>
    <row r="110" spans="9:20" x14ac:dyDescent="0.3">
      <c r="O110">
        <v>109</v>
      </c>
      <c r="P110" t="s">
        <v>114</v>
      </c>
      <c r="Q110" t="s">
        <v>37</v>
      </c>
      <c r="R110">
        <v>832</v>
      </c>
      <c r="S110">
        <v>2071</v>
      </c>
      <c r="T110">
        <v>0</v>
      </c>
    </row>
    <row r="111" spans="9:20" x14ac:dyDescent="0.3">
      <c r="O111">
        <v>110</v>
      </c>
      <c r="P111" t="s">
        <v>115</v>
      </c>
      <c r="Q111" t="s">
        <v>34</v>
      </c>
      <c r="R111">
        <v>1386</v>
      </c>
      <c r="S111">
        <v>1511</v>
      </c>
      <c r="T111">
        <v>0</v>
      </c>
    </row>
    <row r="112" spans="9:20" x14ac:dyDescent="0.3">
      <c r="O112">
        <v>111</v>
      </c>
      <c r="P112" t="s">
        <v>115</v>
      </c>
      <c r="Q112" t="s">
        <v>37</v>
      </c>
      <c r="R112">
        <v>1043</v>
      </c>
      <c r="S112">
        <v>1888</v>
      </c>
      <c r="T112">
        <v>0</v>
      </c>
    </row>
    <row r="113" spans="15:20" x14ac:dyDescent="0.3">
      <c r="O113">
        <v>112</v>
      </c>
      <c r="P113" t="s">
        <v>116</v>
      </c>
      <c r="Q113" t="s">
        <v>34</v>
      </c>
      <c r="R113">
        <v>1385</v>
      </c>
      <c r="S113">
        <v>1524</v>
      </c>
      <c r="T113">
        <v>0</v>
      </c>
    </row>
    <row r="114" spans="15:20" x14ac:dyDescent="0.3">
      <c r="O114">
        <v>113</v>
      </c>
      <c r="P114" t="s">
        <v>116</v>
      </c>
      <c r="Q114" t="s">
        <v>37</v>
      </c>
      <c r="R114">
        <v>834</v>
      </c>
      <c r="S114">
        <v>2080</v>
      </c>
      <c r="T114">
        <v>0</v>
      </c>
    </row>
    <row r="115" spans="15:20" x14ac:dyDescent="0.3">
      <c r="O115">
        <v>114</v>
      </c>
      <c r="P115" t="s">
        <v>117</v>
      </c>
      <c r="Q115" t="s">
        <v>34</v>
      </c>
      <c r="R115">
        <v>1538</v>
      </c>
      <c r="S115">
        <v>1355</v>
      </c>
      <c r="T115">
        <v>0</v>
      </c>
    </row>
    <row r="116" spans="15:20" x14ac:dyDescent="0.3">
      <c r="O116">
        <v>115</v>
      </c>
      <c r="P116" t="s">
        <v>117</v>
      </c>
      <c r="Q116" t="s">
        <v>37</v>
      </c>
      <c r="R116">
        <v>648</v>
      </c>
      <c r="S116">
        <v>2250</v>
      </c>
      <c r="T116">
        <v>0</v>
      </c>
    </row>
    <row r="117" spans="15:20" x14ac:dyDescent="0.3">
      <c r="O117">
        <v>116</v>
      </c>
      <c r="P117" t="s">
        <v>118</v>
      </c>
      <c r="Q117" t="s">
        <v>34</v>
      </c>
      <c r="R117">
        <v>1277</v>
      </c>
      <c r="S117">
        <v>1636</v>
      </c>
      <c r="T117">
        <v>0</v>
      </c>
    </row>
    <row r="118" spans="15:20" x14ac:dyDescent="0.3">
      <c r="O118">
        <v>117</v>
      </c>
      <c r="P118" t="s">
        <v>118</v>
      </c>
      <c r="Q118" t="s">
        <v>37</v>
      </c>
      <c r="R118">
        <v>649</v>
      </c>
      <c r="S118">
        <v>1254</v>
      </c>
      <c r="T118">
        <v>985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2620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2880</v>
      </c>
    </row>
    <row r="121" spans="15:20" x14ac:dyDescent="0.3">
      <c r="O121">
        <v>120</v>
      </c>
      <c r="P121" t="s">
        <v>120</v>
      </c>
      <c r="Q121" t="s">
        <v>34</v>
      </c>
      <c r="R121">
        <v>604</v>
      </c>
      <c r="S121">
        <v>1484</v>
      </c>
      <c r="T121">
        <v>811</v>
      </c>
    </row>
    <row r="122" spans="15:20" x14ac:dyDescent="0.3">
      <c r="O122">
        <v>121</v>
      </c>
      <c r="P122" t="s">
        <v>120</v>
      </c>
      <c r="Q122" t="s">
        <v>37</v>
      </c>
      <c r="R122">
        <v>970</v>
      </c>
      <c r="S122">
        <v>1928</v>
      </c>
      <c r="T122">
        <v>0</v>
      </c>
    </row>
    <row r="123" spans="15:20" x14ac:dyDescent="0.3">
      <c r="O123">
        <v>122</v>
      </c>
      <c r="P123" t="s">
        <v>121</v>
      </c>
      <c r="Q123" t="s">
        <v>34</v>
      </c>
      <c r="R123">
        <v>1296</v>
      </c>
      <c r="S123">
        <v>1601</v>
      </c>
      <c r="T123">
        <v>0</v>
      </c>
    </row>
    <row r="124" spans="15:20" x14ac:dyDescent="0.3">
      <c r="O124">
        <v>123</v>
      </c>
      <c r="P124" t="s">
        <v>121</v>
      </c>
      <c r="Q124" t="s">
        <v>37</v>
      </c>
      <c r="R124">
        <v>931</v>
      </c>
      <c r="S124">
        <v>1961</v>
      </c>
      <c r="T124">
        <v>0</v>
      </c>
    </row>
    <row r="125" spans="15:20" x14ac:dyDescent="0.3">
      <c r="O125">
        <v>124</v>
      </c>
      <c r="P125" t="s">
        <v>122</v>
      </c>
      <c r="Q125" t="s">
        <v>34</v>
      </c>
      <c r="R125">
        <v>1490</v>
      </c>
      <c r="S125">
        <v>1399</v>
      </c>
      <c r="T125">
        <v>0</v>
      </c>
    </row>
    <row r="126" spans="15:20" x14ac:dyDescent="0.3">
      <c r="O126">
        <v>125</v>
      </c>
      <c r="P126" t="s">
        <v>122</v>
      </c>
      <c r="Q126" t="s">
        <v>37</v>
      </c>
      <c r="R126">
        <v>913</v>
      </c>
      <c r="S126">
        <v>1979</v>
      </c>
      <c r="T126">
        <v>0</v>
      </c>
    </row>
    <row r="127" spans="15:20" x14ac:dyDescent="0.3">
      <c r="O127">
        <v>126</v>
      </c>
      <c r="P127" t="s">
        <v>123</v>
      </c>
      <c r="Q127" t="s">
        <v>34</v>
      </c>
      <c r="R127">
        <v>1405</v>
      </c>
      <c r="S127">
        <v>1505</v>
      </c>
      <c r="T127">
        <v>0</v>
      </c>
    </row>
    <row r="128" spans="15:20" x14ac:dyDescent="0.3">
      <c r="O128">
        <v>127</v>
      </c>
      <c r="P128" t="s">
        <v>123</v>
      </c>
      <c r="Q128" t="s">
        <v>37</v>
      </c>
      <c r="R128">
        <v>1018</v>
      </c>
      <c r="S128">
        <v>1879</v>
      </c>
      <c r="T128">
        <v>0</v>
      </c>
    </row>
    <row r="129" spans="15:20" x14ac:dyDescent="0.3">
      <c r="O129">
        <v>128</v>
      </c>
      <c r="P129" t="s">
        <v>124</v>
      </c>
      <c r="Q129" t="s">
        <v>34</v>
      </c>
      <c r="R129">
        <v>1418</v>
      </c>
      <c r="S129">
        <v>1469</v>
      </c>
      <c r="T129">
        <v>0</v>
      </c>
    </row>
    <row r="130" spans="15:20" x14ac:dyDescent="0.3">
      <c r="O130">
        <v>129</v>
      </c>
      <c r="P130" t="s">
        <v>124</v>
      </c>
      <c r="Q130" t="s">
        <v>37</v>
      </c>
      <c r="R130">
        <v>1173</v>
      </c>
      <c r="S130">
        <v>1721</v>
      </c>
      <c r="T130">
        <v>0</v>
      </c>
    </row>
    <row r="131" spans="15:20" x14ac:dyDescent="0.3">
      <c r="O131">
        <v>130</v>
      </c>
      <c r="P131" t="s">
        <v>125</v>
      </c>
      <c r="Q131" t="s">
        <v>34</v>
      </c>
      <c r="R131">
        <v>1623</v>
      </c>
      <c r="S131">
        <v>1288</v>
      </c>
      <c r="T131">
        <v>0</v>
      </c>
    </row>
    <row r="132" spans="15:20" x14ac:dyDescent="0.3">
      <c r="O132">
        <v>131</v>
      </c>
      <c r="P132" t="s">
        <v>125</v>
      </c>
      <c r="Q132" t="s">
        <v>37</v>
      </c>
      <c r="R132">
        <v>1096</v>
      </c>
      <c r="S132">
        <v>1795</v>
      </c>
      <c r="T132">
        <v>0</v>
      </c>
    </row>
    <row r="133" spans="15:20" x14ac:dyDescent="0.3">
      <c r="O133">
        <v>132</v>
      </c>
      <c r="P133" t="s">
        <v>126</v>
      </c>
      <c r="Q133" t="s">
        <v>34</v>
      </c>
      <c r="R133">
        <v>1420</v>
      </c>
      <c r="S133">
        <v>1481</v>
      </c>
      <c r="T133">
        <v>6</v>
      </c>
    </row>
    <row r="134" spans="15:20" x14ac:dyDescent="0.3">
      <c r="O134">
        <v>133</v>
      </c>
      <c r="P134" t="s">
        <v>126</v>
      </c>
      <c r="Q134" t="s">
        <v>37</v>
      </c>
      <c r="R134">
        <v>1930</v>
      </c>
      <c r="S134">
        <v>228</v>
      </c>
      <c r="T134">
        <v>720</v>
      </c>
    </row>
    <row r="135" spans="15:20" x14ac:dyDescent="0.3">
      <c r="O135">
        <v>134</v>
      </c>
      <c r="P135" t="s">
        <v>127</v>
      </c>
      <c r="Q135" t="s">
        <v>34</v>
      </c>
      <c r="R135">
        <v>1375</v>
      </c>
      <c r="S135">
        <v>1312</v>
      </c>
      <c r="T135">
        <v>208</v>
      </c>
    </row>
    <row r="136" spans="15:20" x14ac:dyDescent="0.3">
      <c r="O136">
        <v>135</v>
      </c>
      <c r="P136" t="s">
        <v>127</v>
      </c>
      <c r="Q136" t="s">
        <v>37</v>
      </c>
      <c r="R136">
        <v>1053</v>
      </c>
      <c r="S136">
        <v>1853</v>
      </c>
      <c r="T136">
        <v>0</v>
      </c>
    </row>
    <row r="137" spans="15:20" x14ac:dyDescent="0.3">
      <c r="O137">
        <v>136</v>
      </c>
      <c r="P137" t="s">
        <v>128</v>
      </c>
      <c r="Q137" t="s">
        <v>34</v>
      </c>
      <c r="R137">
        <v>1361</v>
      </c>
      <c r="S137">
        <v>1532</v>
      </c>
      <c r="T137">
        <v>0</v>
      </c>
    </row>
    <row r="138" spans="15:20" x14ac:dyDescent="0.3">
      <c r="O138">
        <v>137</v>
      </c>
      <c r="P138" t="s">
        <v>128</v>
      </c>
      <c r="Q138" t="s">
        <v>37</v>
      </c>
      <c r="R138">
        <v>966</v>
      </c>
      <c r="S138">
        <v>1999</v>
      </c>
      <c r="T138">
        <v>0</v>
      </c>
    </row>
    <row r="139" spans="15:20" x14ac:dyDescent="0.3">
      <c r="O139">
        <v>138</v>
      </c>
      <c r="P139" t="s">
        <v>129</v>
      </c>
      <c r="Q139" t="s">
        <v>34</v>
      </c>
      <c r="R139">
        <v>1478</v>
      </c>
      <c r="S139">
        <v>1420</v>
      </c>
      <c r="T139">
        <v>0</v>
      </c>
    </row>
    <row r="140" spans="15:20" x14ac:dyDescent="0.3">
      <c r="O140">
        <v>139</v>
      </c>
      <c r="P140" t="s">
        <v>129</v>
      </c>
      <c r="Q140" t="s">
        <v>37</v>
      </c>
      <c r="R140">
        <v>1107</v>
      </c>
      <c r="S140">
        <v>1817</v>
      </c>
      <c r="T140">
        <v>0</v>
      </c>
    </row>
    <row r="141" spans="15:20" x14ac:dyDescent="0.3">
      <c r="O141">
        <v>140</v>
      </c>
      <c r="P141" t="s">
        <v>130</v>
      </c>
      <c r="Q141" t="s">
        <v>34</v>
      </c>
      <c r="R141">
        <v>1512</v>
      </c>
      <c r="S141">
        <v>1383</v>
      </c>
      <c r="T141">
        <v>0</v>
      </c>
    </row>
    <row r="142" spans="15:20" x14ac:dyDescent="0.3">
      <c r="O142">
        <v>141</v>
      </c>
      <c r="P142" t="s">
        <v>130</v>
      </c>
      <c r="Q142" t="s">
        <v>37</v>
      </c>
      <c r="R142">
        <v>872</v>
      </c>
      <c r="S142">
        <v>2026</v>
      </c>
      <c r="T142">
        <v>0</v>
      </c>
    </row>
    <row r="143" spans="15:20" x14ac:dyDescent="0.3">
      <c r="O143">
        <v>142</v>
      </c>
      <c r="P143" t="s">
        <v>131</v>
      </c>
      <c r="Q143" t="s">
        <v>34</v>
      </c>
      <c r="R143">
        <v>1368</v>
      </c>
      <c r="S143">
        <v>1539</v>
      </c>
      <c r="T143">
        <v>0</v>
      </c>
    </row>
    <row r="144" spans="15:20" x14ac:dyDescent="0.3">
      <c r="O144">
        <v>143</v>
      </c>
      <c r="P144" t="s">
        <v>131</v>
      </c>
      <c r="Q144" t="s">
        <v>37</v>
      </c>
      <c r="R144">
        <v>947</v>
      </c>
      <c r="S144">
        <v>1954</v>
      </c>
      <c r="T144">
        <v>0</v>
      </c>
    </row>
    <row r="145" spans="15:20" x14ac:dyDescent="0.3">
      <c r="O145">
        <v>144</v>
      </c>
      <c r="P145" t="s">
        <v>132</v>
      </c>
      <c r="Q145" t="s">
        <v>34</v>
      </c>
      <c r="R145">
        <v>1551</v>
      </c>
      <c r="S145">
        <v>1336</v>
      </c>
      <c r="T145">
        <v>0</v>
      </c>
    </row>
    <row r="146" spans="15:20" x14ac:dyDescent="0.3">
      <c r="O146">
        <v>145</v>
      </c>
      <c r="P146" t="s">
        <v>132</v>
      </c>
      <c r="Q146" t="s">
        <v>37</v>
      </c>
      <c r="R146">
        <v>542</v>
      </c>
      <c r="S146">
        <v>1779</v>
      </c>
      <c r="T146">
        <v>562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2880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2880</v>
      </c>
    </row>
    <row r="149" spans="15:20" x14ac:dyDescent="0.3">
      <c r="O149">
        <v>148</v>
      </c>
      <c r="P149" t="s">
        <v>134</v>
      </c>
      <c r="Q149" t="s">
        <v>34</v>
      </c>
      <c r="R149">
        <v>626</v>
      </c>
      <c r="S149">
        <v>1462</v>
      </c>
      <c r="T149">
        <v>812</v>
      </c>
    </row>
    <row r="150" spans="15:20" x14ac:dyDescent="0.3">
      <c r="O150">
        <v>149</v>
      </c>
      <c r="P150" t="s">
        <v>134</v>
      </c>
      <c r="Q150" t="s">
        <v>37</v>
      </c>
      <c r="R150">
        <v>1188</v>
      </c>
      <c r="S150">
        <v>1704</v>
      </c>
      <c r="T150">
        <v>0</v>
      </c>
    </row>
    <row r="151" spans="15:20" x14ac:dyDescent="0.3">
      <c r="O151">
        <v>150</v>
      </c>
      <c r="P151" t="s">
        <v>135</v>
      </c>
      <c r="Q151" t="s">
        <v>34</v>
      </c>
      <c r="R151">
        <v>1422</v>
      </c>
      <c r="S151">
        <v>1472</v>
      </c>
      <c r="T151">
        <v>0</v>
      </c>
    </row>
    <row r="152" spans="15:20" x14ac:dyDescent="0.3">
      <c r="O152">
        <v>151</v>
      </c>
      <c r="P152" t="s">
        <v>135</v>
      </c>
      <c r="Q152" t="s">
        <v>37</v>
      </c>
      <c r="R152">
        <v>1165</v>
      </c>
      <c r="S152">
        <v>1733</v>
      </c>
      <c r="T152">
        <v>0</v>
      </c>
    </row>
    <row r="153" spans="15:20" x14ac:dyDescent="0.3">
      <c r="O153">
        <v>152</v>
      </c>
      <c r="P153" t="s">
        <v>136</v>
      </c>
      <c r="Q153" t="s">
        <v>34</v>
      </c>
      <c r="R153">
        <v>1350</v>
      </c>
      <c r="S153">
        <v>1539</v>
      </c>
      <c r="T153">
        <v>0</v>
      </c>
    </row>
    <row r="154" spans="15:20" x14ac:dyDescent="0.3">
      <c r="O154">
        <v>153</v>
      </c>
      <c r="P154" t="s">
        <v>136</v>
      </c>
      <c r="Q154" t="s">
        <v>37</v>
      </c>
      <c r="R154">
        <v>1081</v>
      </c>
      <c r="S154">
        <v>1805</v>
      </c>
      <c r="T154">
        <v>0</v>
      </c>
    </row>
    <row r="155" spans="15:20" x14ac:dyDescent="0.3">
      <c r="O155">
        <v>154</v>
      </c>
      <c r="P155" t="s">
        <v>137</v>
      </c>
      <c r="Q155" t="s">
        <v>34</v>
      </c>
      <c r="R155">
        <v>1280</v>
      </c>
      <c r="S155">
        <v>1612</v>
      </c>
      <c r="T155">
        <v>0</v>
      </c>
    </row>
    <row r="156" spans="15:20" x14ac:dyDescent="0.3">
      <c r="O156">
        <v>155</v>
      </c>
      <c r="P156" t="s">
        <v>137</v>
      </c>
      <c r="Q156" t="s">
        <v>37</v>
      </c>
      <c r="R156">
        <v>1251</v>
      </c>
      <c r="S156">
        <v>1635</v>
      </c>
      <c r="T156">
        <v>0</v>
      </c>
    </row>
    <row r="157" spans="15:20" x14ac:dyDescent="0.3">
      <c r="O157">
        <v>156</v>
      </c>
      <c r="P157" t="s">
        <v>138</v>
      </c>
      <c r="Q157" t="s">
        <v>34</v>
      </c>
      <c r="R157">
        <v>1526</v>
      </c>
      <c r="S157">
        <v>1368</v>
      </c>
      <c r="T157">
        <v>0</v>
      </c>
    </row>
    <row r="158" spans="15:20" x14ac:dyDescent="0.3">
      <c r="O158">
        <v>157</v>
      </c>
      <c r="P158" t="s">
        <v>138</v>
      </c>
      <c r="Q158" t="s">
        <v>37</v>
      </c>
      <c r="R158">
        <v>980</v>
      </c>
      <c r="S158">
        <v>1910</v>
      </c>
      <c r="T158">
        <v>0</v>
      </c>
    </row>
    <row r="159" spans="15:20" x14ac:dyDescent="0.3">
      <c r="O159">
        <v>158</v>
      </c>
      <c r="P159" t="s">
        <v>139</v>
      </c>
      <c r="Q159" t="s">
        <v>34</v>
      </c>
      <c r="R159">
        <v>1515</v>
      </c>
      <c r="S159">
        <v>1377</v>
      </c>
      <c r="T159">
        <v>0</v>
      </c>
    </row>
    <row r="160" spans="15:20" x14ac:dyDescent="0.3">
      <c r="O160">
        <v>159</v>
      </c>
      <c r="P160" t="s">
        <v>139</v>
      </c>
      <c r="Q160" t="s">
        <v>37</v>
      </c>
      <c r="R160">
        <v>1630</v>
      </c>
      <c r="S160">
        <v>1274</v>
      </c>
      <c r="T160">
        <v>0</v>
      </c>
    </row>
    <row r="161" spans="15:20" x14ac:dyDescent="0.3">
      <c r="O161">
        <v>160</v>
      </c>
      <c r="P161" t="s">
        <v>140</v>
      </c>
      <c r="Q161" t="s">
        <v>34</v>
      </c>
      <c r="R161">
        <v>1442</v>
      </c>
      <c r="S161">
        <v>1438</v>
      </c>
      <c r="T161">
        <v>7</v>
      </c>
    </row>
    <row r="162" spans="15:20" x14ac:dyDescent="0.3">
      <c r="O162">
        <v>161</v>
      </c>
      <c r="P162" t="s">
        <v>140</v>
      </c>
      <c r="Q162" t="s">
        <v>37</v>
      </c>
      <c r="R162">
        <v>1049</v>
      </c>
      <c r="S162">
        <v>427</v>
      </c>
      <c r="T162">
        <v>1403</v>
      </c>
    </row>
    <row r="163" spans="15:20" x14ac:dyDescent="0.3">
      <c r="O163">
        <v>162</v>
      </c>
      <c r="P163" t="s">
        <v>141</v>
      </c>
      <c r="Q163" t="s">
        <v>34</v>
      </c>
      <c r="R163">
        <v>1208</v>
      </c>
      <c r="S163">
        <v>1278</v>
      </c>
      <c r="T163">
        <v>410</v>
      </c>
    </row>
    <row r="164" spans="15:20" x14ac:dyDescent="0.3">
      <c r="O164">
        <v>163</v>
      </c>
      <c r="P164" t="s">
        <v>141</v>
      </c>
      <c r="Q164" t="s">
        <v>37</v>
      </c>
      <c r="R164">
        <v>543</v>
      </c>
      <c r="S164">
        <v>2352</v>
      </c>
      <c r="T164">
        <v>0</v>
      </c>
    </row>
    <row r="165" spans="15:20" x14ac:dyDescent="0.3">
      <c r="O165">
        <v>164</v>
      </c>
      <c r="P165" t="s">
        <v>142</v>
      </c>
      <c r="Q165" t="s">
        <v>34</v>
      </c>
      <c r="R165">
        <v>1206</v>
      </c>
      <c r="S165">
        <v>1688</v>
      </c>
      <c r="T165">
        <v>0</v>
      </c>
    </row>
    <row r="166" spans="15:20" x14ac:dyDescent="0.3">
      <c r="O166">
        <v>165</v>
      </c>
      <c r="P166" t="s">
        <v>142</v>
      </c>
      <c r="Q166" t="s">
        <v>37</v>
      </c>
      <c r="R166">
        <v>1115</v>
      </c>
      <c r="S166">
        <v>1821</v>
      </c>
      <c r="T166">
        <v>0</v>
      </c>
    </row>
    <row r="167" spans="15:20" x14ac:dyDescent="0.3">
      <c r="O167">
        <v>166</v>
      </c>
      <c r="P167" t="s">
        <v>143</v>
      </c>
      <c r="Q167" t="s">
        <v>34</v>
      </c>
      <c r="R167">
        <v>1281</v>
      </c>
      <c r="S167">
        <v>1657</v>
      </c>
      <c r="T167">
        <v>0</v>
      </c>
    </row>
    <row r="168" spans="15:20" x14ac:dyDescent="0.3">
      <c r="O168">
        <v>167</v>
      </c>
      <c r="P168" t="s">
        <v>143</v>
      </c>
      <c r="Q168" t="s">
        <v>37</v>
      </c>
      <c r="R168">
        <v>940</v>
      </c>
      <c r="S168">
        <v>1953</v>
      </c>
      <c r="T168">
        <v>0</v>
      </c>
    </row>
    <row r="169" spans="15:20" x14ac:dyDescent="0.3">
      <c r="O169">
        <v>168</v>
      </c>
      <c r="P169" t="s">
        <v>144</v>
      </c>
      <c r="Q169" t="s">
        <v>34</v>
      </c>
      <c r="R169">
        <v>1229</v>
      </c>
      <c r="S169">
        <v>1663</v>
      </c>
      <c r="T169">
        <v>0</v>
      </c>
    </row>
    <row r="170" spans="15:20" x14ac:dyDescent="0.3">
      <c r="O170">
        <v>169</v>
      </c>
      <c r="P170" t="s">
        <v>144</v>
      </c>
      <c r="Q170" t="s">
        <v>37</v>
      </c>
      <c r="R170">
        <v>1196</v>
      </c>
      <c r="S170">
        <v>1713</v>
      </c>
      <c r="T170">
        <v>0</v>
      </c>
    </row>
    <row r="171" spans="15:20" x14ac:dyDescent="0.3">
      <c r="O171">
        <v>170</v>
      </c>
      <c r="P171" t="s">
        <v>145</v>
      </c>
      <c r="Q171" t="s">
        <v>34</v>
      </c>
      <c r="R171">
        <v>1572</v>
      </c>
      <c r="S171">
        <v>1323</v>
      </c>
      <c r="T171">
        <v>0</v>
      </c>
    </row>
    <row r="172" spans="15:20" x14ac:dyDescent="0.3">
      <c r="O172">
        <v>171</v>
      </c>
      <c r="P172" t="s">
        <v>145</v>
      </c>
      <c r="Q172" t="s">
        <v>37</v>
      </c>
      <c r="R172">
        <v>943</v>
      </c>
      <c r="S172">
        <v>1967</v>
      </c>
      <c r="T172">
        <v>0</v>
      </c>
    </row>
    <row r="173" spans="15:20" x14ac:dyDescent="0.3">
      <c r="O173">
        <v>172</v>
      </c>
      <c r="P173" t="s">
        <v>146</v>
      </c>
      <c r="Q173" t="s">
        <v>34</v>
      </c>
      <c r="R173">
        <v>1357</v>
      </c>
      <c r="S173">
        <v>1528</v>
      </c>
      <c r="T173">
        <v>0</v>
      </c>
    </row>
    <row r="174" spans="15:20" x14ac:dyDescent="0.3">
      <c r="O174">
        <v>173</v>
      </c>
      <c r="P174" t="s">
        <v>146</v>
      </c>
      <c r="Q174" t="s">
        <v>37</v>
      </c>
      <c r="R174">
        <v>1283</v>
      </c>
      <c r="S174">
        <v>1619</v>
      </c>
      <c r="T174">
        <v>0</v>
      </c>
    </row>
    <row r="175" spans="15:20" x14ac:dyDescent="0.3">
      <c r="O175">
        <v>174</v>
      </c>
      <c r="P175" t="s">
        <v>147</v>
      </c>
      <c r="Q175" t="s">
        <v>34</v>
      </c>
      <c r="R175">
        <v>1439</v>
      </c>
      <c r="S175">
        <v>1454</v>
      </c>
      <c r="T175">
        <v>0</v>
      </c>
    </row>
    <row r="176" spans="15:20" x14ac:dyDescent="0.3">
      <c r="O176">
        <v>175</v>
      </c>
      <c r="P176" t="s">
        <v>147</v>
      </c>
      <c r="Q176" t="s">
        <v>37</v>
      </c>
      <c r="R176">
        <v>2027</v>
      </c>
      <c r="S176">
        <v>184</v>
      </c>
      <c r="T176">
        <v>665</v>
      </c>
    </row>
    <row r="177" spans="15:20" x14ac:dyDescent="0.3">
      <c r="O177">
        <v>176</v>
      </c>
      <c r="P177" t="s">
        <v>148</v>
      </c>
      <c r="Q177" t="s">
        <v>34</v>
      </c>
      <c r="R177">
        <v>1075</v>
      </c>
      <c r="S177">
        <v>1599</v>
      </c>
      <c r="T177">
        <v>213</v>
      </c>
    </row>
    <row r="178" spans="15:20" x14ac:dyDescent="0.3">
      <c r="O178">
        <v>177</v>
      </c>
      <c r="P178" t="s">
        <v>148</v>
      </c>
      <c r="Q178" t="s">
        <v>37</v>
      </c>
      <c r="R178">
        <v>1122</v>
      </c>
      <c r="S178">
        <v>1780</v>
      </c>
      <c r="T178">
        <v>0</v>
      </c>
    </row>
    <row r="179" spans="15:20" x14ac:dyDescent="0.3">
      <c r="O179">
        <v>178</v>
      </c>
      <c r="P179" t="s">
        <v>149</v>
      </c>
      <c r="Q179" t="s">
        <v>34</v>
      </c>
      <c r="R179">
        <v>1466</v>
      </c>
      <c r="S179">
        <v>1438</v>
      </c>
      <c r="T179">
        <v>0</v>
      </c>
    </row>
    <row r="180" spans="15:20" x14ac:dyDescent="0.3">
      <c r="O180">
        <v>179</v>
      </c>
      <c r="P180" t="s">
        <v>149</v>
      </c>
      <c r="Q180" t="s">
        <v>37</v>
      </c>
      <c r="R180">
        <v>1127</v>
      </c>
      <c r="S180">
        <v>1765</v>
      </c>
      <c r="T180">
        <v>0</v>
      </c>
    </row>
    <row r="181" spans="15:20" x14ac:dyDescent="0.3">
      <c r="O181">
        <v>180</v>
      </c>
      <c r="P181" t="s">
        <v>150</v>
      </c>
      <c r="Q181" t="s">
        <v>34</v>
      </c>
      <c r="R181">
        <v>1630</v>
      </c>
      <c r="S181">
        <v>1281</v>
      </c>
      <c r="T181">
        <v>0</v>
      </c>
    </row>
    <row r="182" spans="15:20" x14ac:dyDescent="0.3">
      <c r="O182">
        <v>181</v>
      </c>
      <c r="P182" t="s">
        <v>150</v>
      </c>
      <c r="Q182" t="s">
        <v>37</v>
      </c>
      <c r="R182">
        <v>1262</v>
      </c>
      <c r="S182">
        <v>1630</v>
      </c>
      <c r="T182">
        <v>0</v>
      </c>
    </row>
    <row r="183" spans="15:20" x14ac:dyDescent="0.3">
      <c r="O183">
        <v>182</v>
      </c>
      <c r="P183" t="s">
        <v>151</v>
      </c>
      <c r="Q183" t="s">
        <v>34</v>
      </c>
      <c r="R183">
        <v>1454</v>
      </c>
      <c r="S183">
        <v>1445</v>
      </c>
      <c r="T183">
        <v>0</v>
      </c>
    </row>
    <row r="184" spans="15:20" x14ac:dyDescent="0.3">
      <c r="O184">
        <v>183</v>
      </c>
      <c r="P184" t="s">
        <v>151</v>
      </c>
      <c r="Q184" t="s">
        <v>37</v>
      </c>
      <c r="R184">
        <v>1001</v>
      </c>
      <c r="S184">
        <v>1900</v>
      </c>
      <c r="T184">
        <v>0</v>
      </c>
    </row>
    <row r="185" spans="15:20" x14ac:dyDescent="0.3">
      <c r="O185">
        <v>184</v>
      </c>
      <c r="P185" t="s">
        <v>152</v>
      </c>
      <c r="Q185" t="s">
        <v>34</v>
      </c>
      <c r="R185">
        <v>1628</v>
      </c>
      <c r="S185">
        <v>1268</v>
      </c>
      <c r="T185">
        <v>0</v>
      </c>
    </row>
    <row r="186" spans="15:20" x14ac:dyDescent="0.3">
      <c r="O186">
        <v>185</v>
      </c>
      <c r="P186" t="s">
        <v>152</v>
      </c>
      <c r="Q186" t="s">
        <v>37</v>
      </c>
      <c r="R186">
        <v>1261</v>
      </c>
      <c r="S186">
        <v>1645</v>
      </c>
      <c r="T186">
        <v>0</v>
      </c>
    </row>
    <row r="187" spans="15:20" x14ac:dyDescent="0.3">
      <c r="O187">
        <v>186</v>
      </c>
      <c r="P187" t="s">
        <v>153</v>
      </c>
      <c r="Q187" t="s">
        <v>34</v>
      </c>
      <c r="R187">
        <v>1476</v>
      </c>
      <c r="S187">
        <v>1435</v>
      </c>
      <c r="T187">
        <v>0</v>
      </c>
    </row>
    <row r="188" spans="15:20" x14ac:dyDescent="0.3">
      <c r="O188">
        <v>187</v>
      </c>
      <c r="P188" t="s">
        <v>153</v>
      </c>
      <c r="Q188" t="s">
        <v>37</v>
      </c>
      <c r="R188">
        <v>1175</v>
      </c>
      <c r="S188">
        <v>1737</v>
      </c>
      <c r="T188">
        <v>0</v>
      </c>
    </row>
    <row r="189" spans="15:20" x14ac:dyDescent="0.3">
      <c r="O189">
        <v>188</v>
      </c>
      <c r="P189" t="s">
        <v>154</v>
      </c>
      <c r="Q189" t="s">
        <v>34</v>
      </c>
      <c r="R189">
        <v>1556</v>
      </c>
      <c r="S189">
        <v>1315</v>
      </c>
      <c r="T189">
        <v>32</v>
      </c>
    </row>
    <row r="190" spans="15:20" x14ac:dyDescent="0.3">
      <c r="O190">
        <v>189</v>
      </c>
      <c r="P190" t="s">
        <v>154</v>
      </c>
      <c r="Q190" t="s">
        <v>37</v>
      </c>
      <c r="R190">
        <v>669</v>
      </c>
      <c r="S190">
        <v>52</v>
      </c>
      <c r="T190">
        <v>2160</v>
      </c>
    </row>
    <row r="191" spans="15:20" x14ac:dyDescent="0.3">
      <c r="O191">
        <v>190</v>
      </c>
      <c r="P191" t="s">
        <v>155</v>
      </c>
      <c r="Q191" t="s">
        <v>34</v>
      </c>
      <c r="R191">
        <v>835</v>
      </c>
      <c r="S191">
        <v>1469</v>
      </c>
      <c r="T191">
        <v>609</v>
      </c>
    </row>
    <row r="192" spans="15:20" x14ac:dyDescent="0.3">
      <c r="O192">
        <v>191</v>
      </c>
      <c r="P192" t="s">
        <v>155</v>
      </c>
      <c r="Q192" t="s">
        <v>37</v>
      </c>
      <c r="R192">
        <v>1110</v>
      </c>
      <c r="S192">
        <v>1801</v>
      </c>
      <c r="T192">
        <v>0</v>
      </c>
    </row>
    <row r="193" spans="15:20" x14ac:dyDescent="0.3">
      <c r="O193">
        <v>192</v>
      </c>
      <c r="P193" t="s">
        <v>156</v>
      </c>
      <c r="Q193" t="s">
        <v>34</v>
      </c>
      <c r="R193">
        <v>1522</v>
      </c>
      <c r="S193">
        <v>1378</v>
      </c>
      <c r="T193">
        <v>0</v>
      </c>
    </row>
    <row r="194" spans="15:20" x14ac:dyDescent="0.3">
      <c r="O194">
        <v>193</v>
      </c>
      <c r="P194" t="s">
        <v>156</v>
      </c>
      <c r="Q194" t="s">
        <v>37</v>
      </c>
      <c r="R194">
        <v>1331</v>
      </c>
      <c r="S194">
        <v>1582</v>
      </c>
      <c r="T194">
        <v>0</v>
      </c>
    </row>
    <row r="195" spans="15:20" x14ac:dyDescent="0.3">
      <c r="O195">
        <v>194</v>
      </c>
      <c r="P195" t="s">
        <v>157</v>
      </c>
      <c r="Q195" t="s">
        <v>34</v>
      </c>
      <c r="R195">
        <v>1456</v>
      </c>
      <c r="S195">
        <v>1459</v>
      </c>
      <c r="T195">
        <v>0</v>
      </c>
    </row>
    <row r="196" spans="15:20" x14ac:dyDescent="0.3">
      <c r="O196">
        <v>195</v>
      </c>
      <c r="P196" t="s">
        <v>157</v>
      </c>
      <c r="Q196" t="s">
        <v>37</v>
      </c>
      <c r="R196">
        <v>1096</v>
      </c>
      <c r="S196">
        <v>1818</v>
      </c>
      <c r="T196">
        <v>0</v>
      </c>
    </row>
    <row r="197" spans="15:20" x14ac:dyDescent="0.3">
      <c r="O197">
        <v>196</v>
      </c>
      <c r="P197" t="s">
        <v>158</v>
      </c>
      <c r="Q197" t="s">
        <v>34</v>
      </c>
      <c r="R197">
        <v>1207</v>
      </c>
      <c r="S197">
        <v>1702</v>
      </c>
      <c r="T197">
        <v>0</v>
      </c>
    </row>
    <row r="198" spans="15:20" x14ac:dyDescent="0.3">
      <c r="O198">
        <v>197</v>
      </c>
      <c r="P198" t="s">
        <v>158</v>
      </c>
      <c r="Q198" t="s">
        <v>37</v>
      </c>
      <c r="R198">
        <v>785</v>
      </c>
      <c r="S198">
        <v>2116</v>
      </c>
      <c r="T198">
        <v>0</v>
      </c>
    </row>
    <row r="199" spans="15:20" x14ac:dyDescent="0.3">
      <c r="O199">
        <v>198</v>
      </c>
      <c r="P199" t="s">
        <v>159</v>
      </c>
      <c r="Q199" t="s">
        <v>34</v>
      </c>
      <c r="R199">
        <v>1571</v>
      </c>
      <c r="S199">
        <v>1327</v>
      </c>
      <c r="T199">
        <v>0</v>
      </c>
    </row>
    <row r="200" spans="15:20" x14ac:dyDescent="0.3">
      <c r="O200">
        <v>199</v>
      </c>
      <c r="P200" t="s">
        <v>159</v>
      </c>
      <c r="Q200" t="s">
        <v>37</v>
      </c>
      <c r="R200">
        <v>902</v>
      </c>
      <c r="S200">
        <v>1998</v>
      </c>
      <c r="T200">
        <v>0</v>
      </c>
    </row>
    <row r="201" spans="15:20" x14ac:dyDescent="0.3">
      <c r="O201">
        <v>200</v>
      </c>
      <c r="P201" t="s">
        <v>160</v>
      </c>
      <c r="Q201" t="s">
        <v>34</v>
      </c>
      <c r="R201">
        <v>1575</v>
      </c>
      <c r="S201">
        <v>1316</v>
      </c>
      <c r="T201">
        <v>0</v>
      </c>
    </row>
    <row r="202" spans="15:20" x14ac:dyDescent="0.3">
      <c r="O202">
        <v>201</v>
      </c>
      <c r="P202" t="s">
        <v>160</v>
      </c>
      <c r="Q202" t="s">
        <v>37</v>
      </c>
      <c r="R202">
        <v>1196</v>
      </c>
      <c r="S202">
        <v>1695</v>
      </c>
      <c r="T202">
        <v>0</v>
      </c>
    </row>
    <row r="203" spans="15:20" x14ac:dyDescent="0.3">
      <c r="O203">
        <v>202</v>
      </c>
      <c r="P203" t="s">
        <v>161</v>
      </c>
      <c r="Q203" t="s">
        <v>34</v>
      </c>
      <c r="R203">
        <v>1409</v>
      </c>
      <c r="S203">
        <v>1474</v>
      </c>
      <c r="T203">
        <v>0</v>
      </c>
    </row>
    <row r="204" spans="15:20" x14ac:dyDescent="0.3">
      <c r="O204">
        <v>203</v>
      </c>
      <c r="P204" t="s">
        <v>161</v>
      </c>
      <c r="Q204" t="s">
        <v>37</v>
      </c>
      <c r="R204">
        <v>2619</v>
      </c>
      <c r="S204">
        <v>260</v>
      </c>
      <c r="T204">
        <v>0</v>
      </c>
    </row>
    <row r="205" spans="15:20" x14ac:dyDescent="0.3">
      <c r="O205">
        <v>204</v>
      </c>
      <c r="P205" t="s">
        <v>162</v>
      </c>
      <c r="Q205" t="s">
        <v>34</v>
      </c>
      <c r="R205">
        <v>1299</v>
      </c>
      <c r="S205">
        <v>1592</v>
      </c>
      <c r="T205">
        <v>0</v>
      </c>
    </row>
    <row r="206" spans="15:20" x14ac:dyDescent="0.3">
      <c r="O206">
        <v>205</v>
      </c>
      <c r="P206" t="s">
        <v>162</v>
      </c>
      <c r="Q206" t="s">
        <v>37</v>
      </c>
      <c r="R206">
        <v>1227</v>
      </c>
      <c r="S206">
        <v>1669</v>
      </c>
      <c r="T206">
        <v>0</v>
      </c>
    </row>
    <row r="207" spans="15:20" x14ac:dyDescent="0.3">
      <c r="O207">
        <v>206</v>
      </c>
      <c r="P207" t="s">
        <v>163</v>
      </c>
      <c r="Q207" t="s">
        <v>34</v>
      </c>
      <c r="R207">
        <v>1583</v>
      </c>
      <c r="S207">
        <v>1312</v>
      </c>
      <c r="T207">
        <v>0</v>
      </c>
    </row>
    <row r="208" spans="15:20" x14ac:dyDescent="0.3">
      <c r="O208">
        <v>207</v>
      </c>
      <c r="P208" t="s">
        <v>163</v>
      </c>
      <c r="Q208" t="s">
        <v>37</v>
      </c>
      <c r="R208">
        <v>813</v>
      </c>
      <c r="S208">
        <v>2092</v>
      </c>
      <c r="T208">
        <v>0</v>
      </c>
    </row>
    <row r="209" spans="15:20" x14ac:dyDescent="0.3">
      <c r="O209">
        <v>208</v>
      </c>
      <c r="P209" t="s">
        <v>164</v>
      </c>
      <c r="Q209" t="s">
        <v>34</v>
      </c>
      <c r="R209">
        <v>1465</v>
      </c>
      <c r="S209">
        <v>1444</v>
      </c>
      <c r="T209">
        <v>0</v>
      </c>
    </row>
    <row r="210" spans="15:20" x14ac:dyDescent="0.3">
      <c r="O210">
        <v>209</v>
      </c>
      <c r="P210" t="s">
        <v>164</v>
      </c>
      <c r="Q210" t="s">
        <v>37</v>
      </c>
      <c r="R210">
        <v>1090</v>
      </c>
      <c r="S210">
        <v>1806</v>
      </c>
      <c r="T210">
        <v>0</v>
      </c>
    </row>
    <row r="211" spans="15:20" x14ac:dyDescent="0.3">
      <c r="O211">
        <v>210</v>
      </c>
      <c r="P211" t="s">
        <v>165</v>
      </c>
      <c r="Q211" t="s">
        <v>34</v>
      </c>
      <c r="R211">
        <v>1385</v>
      </c>
      <c r="S211">
        <v>1524</v>
      </c>
      <c r="T211">
        <v>0</v>
      </c>
    </row>
    <row r="212" spans="15:20" x14ac:dyDescent="0.3">
      <c r="O212">
        <v>211</v>
      </c>
      <c r="P212" t="s">
        <v>165</v>
      </c>
      <c r="Q212" t="s">
        <v>37</v>
      </c>
      <c r="R212">
        <v>869</v>
      </c>
      <c r="S212">
        <v>2053</v>
      </c>
      <c r="T212">
        <v>0</v>
      </c>
    </row>
    <row r="213" spans="15:20" x14ac:dyDescent="0.3">
      <c r="O213">
        <v>212</v>
      </c>
      <c r="P213" t="s">
        <v>166</v>
      </c>
      <c r="Q213" t="s">
        <v>34</v>
      </c>
      <c r="R213">
        <v>1234</v>
      </c>
      <c r="S213">
        <v>1656</v>
      </c>
      <c r="T213">
        <v>0</v>
      </c>
    </row>
    <row r="214" spans="15:20" x14ac:dyDescent="0.3">
      <c r="O214">
        <v>213</v>
      </c>
      <c r="P214" t="s">
        <v>166</v>
      </c>
      <c r="Q214" t="s">
        <v>37</v>
      </c>
      <c r="R214">
        <v>1424</v>
      </c>
      <c r="S214">
        <v>1487</v>
      </c>
      <c r="T214">
        <v>0</v>
      </c>
    </row>
    <row r="215" spans="15:20" x14ac:dyDescent="0.3">
      <c r="O215">
        <v>214</v>
      </c>
      <c r="P215" t="s">
        <v>167</v>
      </c>
      <c r="Q215" t="s">
        <v>34</v>
      </c>
      <c r="R215">
        <v>1534</v>
      </c>
      <c r="S215">
        <v>1367</v>
      </c>
      <c r="T215">
        <v>0</v>
      </c>
    </row>
    <row r="216" spans="15:20" x14ac:dyDescent="0.3">
      <c r="O216">
        <v>215</v>
      </c>
      <c r="P216" t="s">
        <v>167</v>
      </c>
      <c r="Q216" t="s">
        <v>37</v>
      </c>
      <c r="R216">
        <v>1662</v>
      </c>
      <c r="S216">
        <v>1276</v>
      </c>
      <c r="T216">
        <v>0</v>
      </c>
    </row>
    <row r="217" spans="15:20" x14ac:dyDescent="0.3">
      <c r="O217">
        <v>216</v>
      </c>
      <c r="P217" t="s">
        <v>168</v>
      </c>
      <c r="Q217" t="s">
        <v>34</v>
      </c>
      <c r="R217">
        <v>1553</v>
      </c>
      <c r="S217">
        <v>1299</v>
      </c>
      <c r="T217">
        <v>37</v>
      </c>
    </row>
    <row r="218" spans="15:20" x14ac:dyDescent="0.3">
      <c r="O218">
        <v>217</v>
      </c>
      <c r="P218" t="s">
        <v>168</v>
      </c>
      <c r="Q218" t="s">
        <v>37</v>
      </c>
      <c r="R218">
        <v>692</v>
      </c>
      <c r="S218">
        <v>30</v>
      </c>
      <c r="T218">
        <v>2160</v>
      </c>
    </row>
    <row r="219" spans="15:20" x14ac:dyDescent="0.3">
      <c r="O219">
        <v>218</v>
      </c>
      <c r="P219" t="s">
        <v>169</v>
      </c>
      <c r="Q219" t="s">
        <v>34</v>
      </c>
      <c r="R219">
        <v>925</v>
      </c>
      <c r="S219">
        <v>1353</v>
      </c>
      <c r="T219">
        <v>618</v>
      </c>
    </row>
    <row r="220" spans="15:20" x14ac:dyDescent="0.3">
      <c r="O220">
        <v>219</v>
      </c>
      <c r="P220" t="s">
        <v>169</v>
      </c>
      <c r="Q220" t="s">
        <v>37</v>
      </c>
      <c r="R220">
        <v>728</v>
      </c>
      <c r="S220">
        <v>2167</v>
      </c>
      <c r="T220">
        <v>0</v>
      </c>
    </row>
    <row r="221" spans="15:20" x14ac:dyDescent="0.3">
      <c r="O221">
        <v>220</v>
      </c>
      <c r="P221" t="s">
        <v>170</v>
      </c>
      <c r="Q221" t="s">
        <v>34</v>
      </c>
      <c r="R221">
        <v>1514</v>
      </c>
      <c r="S221">
        <v>1380</v>
      </c>
      <c r="T221">
        <v>0</v>
      </c>
    </row>
    <row r="222" spans="15:20" x14ac:dyDescent="0.3">
      <c r="O222">
        <v>221</v>
      </c>
      <c r="P222" t="s">
        <v>170</v>
      </c>
      <c r="Q222" t="s">
        <v>37</v>
      </c>
      <c r="R222">
        <v>1085</v>
      </c>
      <c r="S222">
        <v>1817</v>
      </c>
      <c r="T222">
        <v>0</v>
      </c>
    </row>
    <row r="223" spans="15:20" x14ac:dyDescent="0.3">
      <c r="O223">
        <v>222</v>
      </c>
      <c r="P223" t="s">
        <v>171</v>
      </c>
      <c r="Q223" t="s">
        <v>34</v>
      </c>
      <c r="R223">
        <v>1493</v>
      </c>
      <c r="S223">
        <v>1426</v>
      </c>
      <c r="T223">
        <v>0</v>
      </c>
    </row>
    <row r="224" spans="15:20" x14ac:dyDescent="0.3">
      <c r="O224">
        <v>223</v>
      </c>
      <c r="P224" t="s">
        <v>171</v>
      </c>
      <c r="Q224" t="s">
        <v>37</v>
      </c>
      <c r="R224">
        <v>861</v>
      </c>
      <c r="S224">
        <v>2047</v>
      </c>
      <c r="T224">
        <v>0</v>
      </c>
    </row>
    <row r="225" spans="15:20" x14ac:dyDescent="0.3">
      <c r="O225">
        <v>224</v>
      </c>
      <c r="P225" t="s">
        <v>172</v>
      </c>
      <c r="Q225" t="s">
        <v>34</v>
      </c>
      <c r="R225">
        <v>908</v>
      </c>
      <c r="S225">
        <v>1994</v>
      </c>
      <c r="T225">
        <v>0</v>
      </c>
    </row>
    <row r="226" spans="15:20" x14ac:dyDescent="0.3">
      <c r="O226">
        <v>225</v>
      </c>
      <c r="P226" t="s">
        <v>172</v>
      </c>
      <c r="Q226" t="s">
        <v>37</v>
      </c>
      <c r="R226">
        <v>855</v>
      </c>
      <c r="S226">
        <v>2042</v>
      </c>
      <c r="T226">
        <v>0</v>
      </c>
    </row>
    <row r="227" spans="15:20" x14ac:dyDescent="0.3">
      <c r="O227">
        <v>226</v>
      </c>
      <c r="P227" t="s">
        <v>173</v>
      </c>
      <c r="Q227" t="s">
        <v>34</v>
      </c>
      <c r="R227">
        <v>1240</v>
      </c>
      <c r="S227">
        <v>1654</v>
      </c>
      <c r="T227">
        <v>0</v>
      </c>
    </row>
    <row r="228" spans="15:20" x14ac:dyDescent="0.3">
      <c r="O228">
        <v>227</v>
      </c>
      <c r="P228" t="s">
        <v>173</v>
      </c>
      <c r="Q228" t="s">
        <v>37</v>
      </c>
      <c r="R228">
        <v>559</v>
      </c>
      <c r="S228">
        <v>1976</v>
      </c>
      <c r="T228">
        <v>355</v>
      </c>
    </row>
    <row r="229" spans="15:20" x14ac:dyDescent="0.3">
      <c r="O229">
        <v>228</v>
      </c>
      <c r="P229" t="s">
        <v>174</v>
      </c>
      <c r="Q229" t="s">
        <v>34</v>
      </c>
      <c r="R229">
        <v>3</v>
      </c>
      <c r="S229">
        <v>355</v>
      </c>
      <c r="T229">
        <v>2522</v>
      </c>
    </row>
    <row r="230" spans="15:20" x14ac:dyDescent="0.3">
      <c r="O230">
        <v>229</v>
      </c>
      <c r="P230" t="s">
        <v>174</v>
      </c>
      <c r="Q230" t="s">
        <v>37</v>
      </c>
      <c r="R230">
        <v>0</v>
      </c>
      <c r="S230">
        <v>0</v>
      </c>
      <c r="T230">
        <v>2880</v>
      </c>
    </row>
    <row r="231" spans="15:20" x14ac:dyDescent="0.3">
      <c r="O231">
        <v>230</v>
      </c>
      <c r="P231" t="s">
        <v>175</v>
      </c>
      <c r="Q231" t="s">
        <v>34</v>
      </c>
      <c r="R231">
        <v>0</v>
      </c>
      <c r="S231">
        <v>0</v>
      </c>
      <c r="T231">
        <v>2880</v>
      </c>
    </row>
    <row r="232" spans="15:20" x14ac:dyDescent="0.3">
      <c r="O232">
        <v>231</v>
      </c>
      <c r="P232" t="s">
        <v>175</v>
      </c>
      <c r="Q232" t="s">
        <v>37</v>
      </c>
      <c r="R232">
        <v>0</v>
      </c>
      <c r="S232">
        <v>0</v>
      </c>
      <c r="T232">
        <v>2880</v>
      </c>
    </row>
    <row r="233" spans="15:20" x14ac:dyDescent="0.3">
      <c r="O233">
        <v>232</v>
      </c>
      <c r="P233" t="s">
        <v>176</v>
      </c>
      <c r="Q233" t="s">
        <v>34</v>
      </c>
      <c r="R233">
        <v>632</v>
      </c>
      <c r="S233">
        <v>1468</v>
      </c>
      <c r="T233">
        <v>800</v>
      </c>
    </row>
    <row r="234" spans="15:20" x14ac:dyDescent="0.3">
      <c r="O234">
        <v>233</v>
      </c>
      <c r="P234" t="s">
        <v>176</v>
      </c>
      <c r="Q234" t="s">
        <v>37</v>
      </c>
      <c r="R234">
        <v>807</v>
      </c>
      <c r="S234">
        <v>2095</v>
      </c>
      <c r="T234">
        <v>0</v>
      </c>
    </row>
    <row r="235" spans="15:20" x14ac:dyDescent="0.3">
      <c r="O235">
        <v>234</v>
      </c>
      <c r="P235" t="s">
        <v>177</v>
      </c>
      <c r="Q235" t="s">
        <v>34</v>
      </c>
      <c r="R235">
        <v>1293</v>
      </c>
      <c r="S235">
        <v>1617</v>
      </c>
      <c r="T235">
        <v>0</v>
      </c>
    </row>
    <row r="236" spans="15:20" x14ac:dyDescent="0.3">
      <c r="O236">
        <v>235</v>
      </c>
      <c r="P236" t="s">
        <v>177</v>
      </c>
      <c r="Q236" t="s">
        <v>37</v>
      </c>
      <c r="R236">
        <v>1019</v>
      </c>
      <c r="S236">
        <v>1885</v>
      </c>
      <c r="T236">
        <v>0</v>
      </c>
    </row>
    <row r="237" spans="15:20" x14ac:dyDescent="0.3">
      <c r="O237">
        <v>236</v>
      </c>
      <c r="P237" t="s">
        <v>178</v>
      </c>
      <c r="Q237" t="s">
        <v>34</v>
      </c>
      <c r="R237">
        <v>1389</v>
      </c>
      <c r="S237">
        <v>1536</v>
      </c>
      <c r="T237">
        <v>0</v>
      </c>
    </row>
    <row r="238" spans="15:20" x14ac:dyDescent="0.3">
      <c r="O238">
        <v>237</v>
      </c>
      <c r="P238" t="s">
        <v>178</v>
      </c>
      <c r="Q238" t="s">
        <v>37</v>
      </c>
      <c r="R238">
        <v>543</v>
      </c>
      <c r="S238">
        <v>2280</v>
      </c>
      <c r="T238">
        <v>74</v>
      </c>
    </row>
    <row r="239" spans="15:20" x14ac:dyDescent="0.3">
      <c r="O239">
        <v>238</v>
      </c>
      <c r="P239" t="s">
        <v>179</v>
      </c>
      <c r="Q239" t="s">
        <v>34</v>
      </c>
      <c r="R239">
        <v>415</v>
      </c>
      <c r="S239">
        <v>705</v>
      </c>
      <c r="T239">
        <v>1769</v>
      </c>
    </row>
    <row r="240" spans="15:20" x14ac:dyDescent="0.3">
      <c r="O240">
        <v>239</v>
      </c>
      <c r="P240" t="s">
        <v>179</v>
      </c>
      <c r="Q240" t="s">
        <v>37</v>
      </c>
      <c r="R240">
        <v>720</v>
      </c>
      <c r="S240">
        <v>0</v>
      </c>
      <c r="T240">
        <v>2160</v>
      </c>
    </row>
    <row r="241" spans="15:20" x14ac:dyDescent="0.3">
      <c r="O241">
        <v>240</v>
      </c>
      <c r="P241" t="s">
        <v>180</v>
      </c>
      <c r="Q241" t="s">
        <v>34</v>
      </c>
      <c r="R241">
        <v>720</v>
      </c>
      <c r="S241">
        <v>0</v>
      </c>
      <c r="T241">
        <v>2160</v>
      </c>
    </row>
    <row r="242" spans="15:20" x14ac:dyDescent="0.3">
      <c r="O242">
        <v>241</v>
      </c>
      <c r="P242" t="s">
        <v>180</v>
      </c>
      <c r="Q242" t="s">
        <v>37</v>
      </c>
      <c r="R242">
        <v>720</v>
      </c>
      <c r="S242">
        <v>0</v>
      </c>
      <c r="T242">
        <v>2160</v>
      </c>
    </row>
    <row r="243" spans="15:20" x14ac:dyDescent="0.3">
      <c r="O243">
        <v>242</v>
      </c>
      <c r="P243" t="s">
        <v>181</v>
      </c>
      <c r="Q243" t="s">
        <v>34</v>
      </c>
      <c r="R243">
        <v>720</v>
      </c>
      <c r="S243">
        <v>0</v>
      </c>
      <c r="T243">
        <v>2160</v>
      </c>
    </row>
    <row r="244" spans="15:20" x14ac:dyDescent="0.3">
      <c r="O244">
        <v>243</v>
      </c>
      <c r="P244" t="s">
        <v>181</v>
      </c>
      <c r="Q244" t="s">
        <v>37</v>
      </c>
      <c r="R244">
        <v>720</v>
      </c>
      <c r="S244">
        <v>0</v>
      </c>
      <c r="T244">
        <v>2160</v>
      </c>
    </row>
    <row r="245" spans="15:20" x14ac:dyDescent="0.3">
      <c r="O245">
        <v>244</v>
      </c>
      <c r="P245" t="s">
        <v>182</v>
      </c>
      <c r="Q245" t="s">
        <v>34</v>
      </c>
      <c r="R245">
        <v>720</v>
      </c>
      <c r="S245">
        <v>0</v>
      </c>
      <c r="T245">
        <v>2160</v>
      </c>
    </row>
    <row r="246" spans="15:20" x14ac:dyDescent="0.3">
      <c r="O246">
        <v>245</v>
      </c>
      <c r="P246" t="s">
        <v>182</v>
      </c>
      <c r="Q246" t="s">
        <v>37</v>
      </c>
      <c r="R246">
        <v>720</v>
      </c>
      <c r="S246">
        <v>0</v>
      </c>
      <c r="T246">
        <v>2160</v>
      </c>
    </row>
    <row r="247" spans="15:20" x14ac:dyDescent="0.3">
      <c r="O247">
        <v>246</v>
      </c>
      <c r="P247" t="s">
        <v>183</v>
      </c>
      <c r="Q247" t="s">
        <v>34</v>
      </c>
      <c r="R247">
        <v>1175</v>
      </c>
      <c r="S247">
        <v>1100</v>
      </c>
      <c r="T247">
        <v>610</v>
      </c>
    </row>
    <row r="248" spans="15:20" x14ac:dyDescent="0.3">
      <c r="O248">
        <v>247</v>
      </c>
      <c r="P248" t="s">
        <v>183</v>
      </c>
      <c r="Q248" t="s">
        <v>37</v>
      </c>
      <c r="R248">
        <v>656</v>
      </c>
      <c r="S248">
        <v>2255</v>
      </c>
      <c r="T248">
        <v>0</v>
      </c>
    </row>
    <row r="249" spans="15:20" x14ac:dyDescent="0.3">
      <c r="O249">
        <v>248</v>
      </c>
      <c r="P249" t="s">
        <v>184</v>
      </c>
      <c r="Q249" t="s">
        <v>34</v>
      </c>
      <c r="R249">
        <v>1040</v>
      </c>
      <c r="S249">
        <v>1876</v>
      </c>
      <c r="T249">
        <v>0</v>
      </c>
    </row>
    <row r="250" spans="15:20" x14ac:dyDescent="0.3">
      <c r="O250">
        <v>249</v>
      </c>
      <c r="P250" t="s">
        <v>184</v>
      </c>
      <c r="Q250" t="s">
        <v>37</v>
      </c>
      <c r="R250">
        <v>1297</v>
      </c>
      <c r="S250">
        <v>1606</v>
      </c>
      <c r="T250">
        <v>0</v>
      </c>
    </row>
    <row r="251" spans="15:20" x14ac:dyDescent="0.3">
      <c r="O251">
        <v>250</v>
      </c>
      <c r="P251" t="s">
        <v>185</v>
      </c>
      <c r="Q251" t="s">
        <v>34</v>
      </c>
      <c r="R251">
        <v>1587</v>
      </c>
      <c r="S251">
        <v>1308</v>
      </c>
      <c r="T251">
        <v>0</v>
      </c>
    </row>
    <row r="252" spans="15:20" x14ac:dyDescent="0.3">
      <c r="O252">
        <v>251</v>
      </c>
      <c r="P252" t="s">
        <v>185</v>
      </c>
      <c r="Q252" t="s">
        <v>37</v>
      </c>
      <c r="R252">
        <v>889</v>
      </c>
      <c r="S252">
        <v>2039</v>
      </c>
      <c r="T252">
        <v>0</v>
      </c>
    </row>
    <row r="253" spans="15:20" x14ac:dyDescent="0.3">
      <c r="O253">
        <v>252</v>
      </c>
      <c r="P253" t="s">
        <v>186</v>
      </c>
      <c r="Q253" t="s">
        <v>34</v>
      </c>
      <c r="R253">
        <v>1543</v>
      </c>
      <c r="S253">
        <v>1347</v>
      </c>
      <c r="T253">
        <v>0</v>
      </c>
    </row>
    <row r="254" spans="15:20" x14ac:dyDescent="0.3">
      <c r="O254">
        <v>253</v>
      </c>
      <c r="P254" t="s">
        <v>186</v>
      </c>
      <c r="Q254" t="s">
        <v>37</v>
      </c>
      <c r="R254">
        <v>1069</v>
      </c>
      <c r="S254">
        <v>1863</v>
      </c>
      <c r="T254">
        <v>0</v>
      </c>
    </row>
    <row r="255" spans="15:20" x14ac:dyDescent="0.3">
      <c r="O255">
        <v>254</v>
      </c>
      <c r="P255" t="s">
        <v>187</v>
      </c>
      <c r="Q255" t="s">
        <v>34</v>
      </c>
      <c r="R255">
        <v>1407</v>
      </c>
      <c r="S255">
        <v>1503</v>
      </c>
      <c r="T255">
        <v>0</v>
      </c>
    </row>
    <row r="256" spans="15:20" x14ac:dyDescent="0.3">
      <c r="O256">
        <v>255</v>
      </c>
      <c r="P256" t="s">
        <v>187</v>
      </c>
      <c r="Q256" t="s">
        <v>37</v>
      </c>
      <c r="R256">
        <v>774</v>
      </c>
      <c r="S256">
        <v>2135</v>
      </c>
      <c r="T256">
        <v>0</v>
      </c>
    </row>
    <row r="257" spans="15:20" x14ac:dyDescent="0.3">
      <c r="O257">
        <v>256</v>
      </c>
      <c r="P257" t="s">
        <v>188</v>
      </c>
      <c r="Q257" t="s">
        <v>34</v>
      </c>
      <c r="R257">
        <v>1546</v>
      </c>
      <c r="S257">
        <v>1347</v>
      </c>
      <c r="T257">
        <v>0</v>
      </c>
    </row>
    <row r="258" spans="15:20" x14ac:dyDescent="0.3">
      <c r="O258">
        <v>257</v>
      </c>
      <c r="P258" t="s">
        <v>188</v>
      </c>
      <c r="Q258" t="s">
        <v>37</v>
      </c>
      <c r="R258">
        <v>1290</v>
      </c>
      <c r="S258">
        <v>1622</v>
      </c>
      <c r="T258">
        <v>0</v>
      </c>
    </row>
    <row r="259" spans="15:20" x14ac:dyDescent="0.3">
      <c r="O259">
        <v>258</v>
      </c>
      <c r="P259" t="s">
        <v>189</v>
      </c>
      <c r="Q259" t="s">
        <v>34</v>
      </c>
      <c r="R259">
        <v>1754</v>
      </c>
      <c r="S259">
        <v>1139</v>
      </c>
      <c r="T259">
        <v>20</v>
      </c>
    </row>
    <row r="260" spans="15:20" x14ac:dyDescent="0.3">
      <c r="O260">
        <v>259</v>
      </c>
      <c r="P260" t="s">
        <v>189</v>
      </c>
      <c r="Q260" t="s">
        <v>37</v>
      </c>
      <c r="R260">
        <v>580</v>
      </c>
      <c r="S260">
        <v>151</v>
      </c>
      <c r="T260">
        <v>2154</v>
      </c>
    </row>
    <row r="261" spans="15:20" x14ac:dyDescent="0.3">
      <c r="O261">
        <v>260</v>
      </c>
      <c r="P261" t="s">
        <v>190</v>
      </c>
      <c r="Q261" t="s">
        <v>34</v>
      </c>
      <c r="R261">
        <v>1021</v>
      </c>
      <c r="S261">
        <v>1293</v>
      </c>
      <c r="T261">
        <v>603</v>
      </c>
    </row>
    <row r="262" spans="15:20" x14ac:dyDescent="0.3">
      <c r="O262">
        <v>261</v>
      </c>
      <c r="P262" t="s">
        <v>190</v>
      </c>
      <c r="Q262" t="s">
        <v>37</v>
      </c>
      <c r="R262">
        <v>1319</v>
      </c>
      <c r="S262">
        <v>1596</v>
      </c>
      <c r="T262">
        <v>0</v>
      </c>
    </row>
    <row r="263" spans="15:20" x14ac:dyDescent="0.3">
      <c r="O263">
        <v>262</v>
      </c>
      <c r="P263" t="s">
        <v>191</v>
      </c>
      <c r="Q263" t="s">
        <v>34</v>
      </c>
      <c r="R263">
        <v>1494</v>
      </c>
      <c r="S263">
        <v>1459</v>
      </c>
      <c r="T263">
        <v>0</v>
      </c>
    </row>
    <row r="264" spans="15:20" x14ac:dyDescent="0.3">
      <c r="O264">
        <v>263</v>
      </c>
      <c r="P264" t="s">
        <v>191</v>
      </c>
      <c r="Q264" t="s">
        <v>37</v>
      </c>
      <c r="R264">
        <v>1341</v>
      </c>
      <c r="S264">
        <v>1574</v>
      </c>
      <c r="T264">
        <v>0</v>
      </c>
    </row>
    <row r="265" spans="15:20" x14ac:dyDescent="0.3">
      <c r="O265">
        <v>264</v>
      </c>
      <c r="P265" t="s">
        <v>192</v>
      </c>
      <c r="Q265" t="s">
        <v>34</v>
      </c>
      <c r="R265">
        <v>1641</v>
      </c>
      <c r="S265">
        <v>1285</v>
      </c>
      <c r="T265">
        <v>0</v>
      </c>
    </row>
    <row r="266" spans="15:20" x14ac:dyDescent="0.3">
      <c r="O266">
        <v>265</v>
      </c>
      <c r="P266" t="s">
        <v>192</v>
      </c>
      <c r="Q266" t="s">
        <v>37</v>
      </c>
      <c r="R266">
        <v>1094</v>
      </c>
      <c r="S266">
        <v>1810</v>
      </c>
      <c r="T266">
        <v>0</v>
      </c>
    </row>
    <row r="267" spans="15:20" x14ac:dyDescent="0.3">
      <c r="O267">
        <v>266</v>
      </c>
      <c r="P267" t="s">
        <v>193</v>
      </c>
      <c r="Q267" t="s">
        <v>34</v>
      </c>
      <c r="R267">
        <v>1283</v>
      </c>
      <c r="S267">
        <v>1628</v>
      </c>
      <c r="T267">
        <v>0</v>
      </c>
    </row>
    <row r="268" spans="15:20" x14ac:dyDescent="0.3">
      <c r="O268">
        <v>267</v>
      </c>
      <c r="P268" t="s">
        <v>193</v>
      </c>
      <c r="Q268" t="s">
        <v>37</v>
      </c>
      <c r="R268">
        <v>975</v>
      </c>
      <c r="S268">
        <v>1924</v>
      </c>
      <c r="T268">
        <v>0</v>
      </c>
    </row>
    <row r="269" spans="15:20" x14ac:dyDescent="0.3">
      <c r="O269">
        <v>268</v>
      </c>
      <c r="P269" t="s">
        <v>194</v>
      </c>
      <c r="Q269" t="s">
        <v>34</v>
      </c>
      <c r="R269">
        <v>1340</v>
      </c>
      <c r="S269">
        <v>1552</v>
      </c>
      <c r="T269">
        <v>0</v>
      </c>
    </row>
    <row r="270" spans="15:20" x14ac:dyDescent="0.3">
      <c r="O270">
        <v>269</v>
      </c>
      <c r="P270" t="s">
        <v>194</v>
      </c>
      <c r="Q270" t="s">
        <v>37</v>
      </c>
      <c r="R270">
        <v>1461</v>
      </c>
      <c r="S270">
        <v>1433</v>
      </c>
      <c r="T270">
        <v>0</v>
      </c>
    </row>
    <row r="271" spans="15:20" x14ac:dyDescent="0.3">
      <c r="O271">
        <v>270</v>
      </c>
      <c r="P271" t="s">
        <v>195</v>
      </c>
      <c r="Q271" t="s">
        <v>34</v>
      </c>
      <c r="R271">
        <v>1759</v>
      </c>
      <c r="S271">
        <v>1133</v>
      </c>
      <c r="T271">
        <v>0</v>
      </c>
    </row>
    <row r="272" spans="15:20" x14ac:dyDescent="0.3">
      <c r="O272">
        <v>271</v>
      </c>
      <c r="P272" t="s">
        <v>195</v>
      </c>
      <c r="Q272" t="s">
        <v>37</v>
      </c>
      <c r="R272">
        <v>1595</v>
      </c>
      <c r="S272">
        <v>1322</v>
      </c>
      <c r="T272">
        <v>0</v>
      </c>
    </row>
    <row r="273" spans="15:20" x14ac:dyDescent="0.3">
      <c r="O273">
        <v>272</v>
      </c>
      <c r="P273" t="s">
        <v>196</v>
      </c>
      <c r="Q273" t="s">
        <v>34</v>
      </c>
      <c r="R273">
        <v>1788</v>
      </c>
      <c r="S273">
        <v>1130</v>
      </c>
      <c r="T273">
        <v>0</v>
      </c>
    </row>
    <row r="274" spans="15:20" x14ac:dyDescent="0.3">
      <c r="O274">
        <v>273</v>
      </c>
      <c r="P274" t="s">
        <v>196</v>
      </c>
      <c r="Q274" t="s">
        <v>37</v>
      </c>
      <c r="R274">
        <v>1254</v>
      </c>
      <c r="S274">
        <v>327</v>
      </c>
      <c r="T274">
        <v>1299</v>
      </c>
    </row>
    <row r="275" spans="15:20" x14ac:dyDescent="0.3">
      <c r="O275">
        <v>274</v>
      </c>
      <c r="P275" t="s">
        <v>197</v>
      </c>
      <c r="Q275" t="s">
        <v>34</v>
      </c>
      <c r="R275">
        <v>1068</v>
      </c>
      <c r="S275">
        <v>1413</v>
      </c>
      <c r="T275">
        <v>409</v>
      </c>
    </row>
    <row r="276" spans="15:20" x14ac:dyDescent="0.3">
      <c r="O276">
        <v>275</v>
      </c>
      <c r="P276" t="s">
        <v>197</v>
      </c>
      <c r="Q276" t="s">
        <v>37</v>
      </c>
      <c r="R276">
        <v>896</v>
      </c>
      <c r="S276">
        <v>2026</v>
      </c>
      <c r="T276">
        <v>0</v>
      </c>
    </row>
    <row r="277" spans="15:20" x14ac:dyDescent="0.3">
      <c r="O277">
        <v>276</v>
      </c>
      <c r="P277" t="s">
        <v>198</v>
      </c>
      <c r="Q277" t="s">
        <v>34</v>
      </c>
      <c r="R277">
        <v>1326</v>
      </c>
      <c r="S277">
        <v>1559</v>
      </c>
      <c r="T277">
        <v>0</v>
      </c>
    </row>
    <row r="278" spans="15:20" x14ac:dyDescent="0.3">
      <c r="O278">
        <v>277</v>
      </c>
      <c r="P278" t="s">
        <v>198</v>
      </c>
      <c r="Q278" t="s">
        <v>37</v>
      </c>
      <c r="R278">
        <v>1096</v>
      </c>
      <c r="S278">
        <v>1808</v>
      </c>
      <c r="T278">
        <v>0</v>
      </c>
    </row>
    <row r="279" spans="15:20" x14ac:dyDescent="0.3">
      <c r="O279">
        <v>278</v>
      </c>
      <c r="P279" t="s">
        <v>199</v>
      </c>
      <c r="Q279" t="s">
        <v>34</v>
      </c>
      <c r="R279">
        <v>1514</v>
      </c>
      <c r="S279">
        <v>1394</v>
      </c>
      <c r="T279">
        <v>0</v>
      </c>
    </row>
    <row r="280" spans="15:20" x14ac:dyDescent="0.3">
      <c r="O280">
        <v>279</v>
      </c>
      <c r="P280" t="s">
        <v>199</v>
      </c>
      <c r="Q280" t="s">
        <v>37</v>
      </c>
      <c r="R280">
        <v>1006</v>
      </c>
      <c r="S280">
        <v>1877</v>
      </c>
      <c r="T280">
        <v>0</v>
      </c>
    </row>
    <row r="281" spans="15:20" x14ac:dyDescent="0.3">
      <c r="O281">
        <v>280</v>
      </c>
      <c r="P281" t="s">
        <v>200</v>
      </c>
      <c r="Q281" t="s">
        <v>34</v>
      </c>
      <c r="R281">
        <v>1517</v>
      </c>
      <c r="S281">
        <v>1384</v>
      </c>
      <c r="T281">
        <v>0</v>
      </c>
    </row>
    <row r="282" spans="15:20" x14ac:dyDescent="0.3">
      <c r="O282">
        <v>281</v>
      </c>
      <c r="P282" t="s">
        <v>200</v>
      </c>
      <c r="Q282" t="s">
        <v>37</v>
      </c>
      <c r="R282">
        <v>1261</v>
      </c>
      <c r="S282">
        <v>1689</v>
      </c>
      <c r="T282">
        <v>0</v>
      </c>
    </row>
    <row r="283" spans="15:20" x14ac:dyDescent="0.3">
      <c r="O283">
        <v>282</v>
      </c>
      <c r="P283" t="s">
        <v>201</v>
      </c>
      <c r="Q283" t="s">
        <v>34</v>
      </c>
      <c r="R283">
        <v>1559</v>
      </c>
      <c r="S283">
        <v>1333</v>
      </c>
      <c r="T283">
        <v>0</v>
      </c>
    </row>
    <row r="284" spans="15:20" x14ac:dyDescent="0.3">
      <c r="O284">
        <v>283</v>
      </c>
      <c r="P284" t="s">
        <v>201</v>
      </c>
      <c r="Q284" t="s">
        <v>37</v>
      </c>
      <c r="R284">
        <v>1415</v>
      </c>
      <c r="S284">
        <v>1491</v>
      </c>
      <c r="T284">
        <v>0</v>
      </c>
    </row>
    <row r="285" spans="15:20" x14ac:dyDescent="0.3">
      <c r="O285">
        <v>284</v>
      </c>
      <c r="P285" t="s">
        <v>202</v>
      </c>
      <c r="Q285" t="s">
        <v>34</v>
      </c>
      <c r="R285">
        <v>1613</v>
      </c>
      <c r="S285">
        <v>1285</v>
      </c>
      <c r="T285">
        <v>0</v>
      </c>
    </row>
    <row r="286" spans="15:20" x14ac:dyDescent="0.3">
      <c r="O286">
        <v>285</v>
      </c>
      <c r="P286" t="s">
        <v>202</v>
      </c>
      <c r="Q286" t="s">
        <v>37</v>
      </c>
      <c r="R286">
        <v>1147</v>
      </c>
      <c r="S286">
        <v>1758</v>
      </c>
      <c r="T286">
        <v>0</v>
      </c>
    </row>
    <row r="287" spans="15:20" x14ac:dyDescent="0.3">
      <c r="O287">
        <v>286</v>
      </c>
      <c r="P287" t="s">
        <v>203</v>
      </c>
      <c r="Q287" t="s">
        <v>34</v>
      </c>
      <c r="R287">
        <v>1823</v>
      </c>
      <c r="S287">
        <v>1074</v>
      </c>
      <c r="T287">
        <v>0</v>
      </c>
    </row>
    <row r="288" spans="15:20" x14ac:dyDescent="0.3">
      <c r="O288">
        <v>287</v>
      </c>
      <c r="P288" t="s">
        <v>203</v>
      </c>
      <c r="Q288" t="s">
        <v>37</v>
      </c>
      <c r="R288">
        <v>2690</v>
      </c>
      <c r="S288">
        <v>188</v>
      </c>
      <c r="T288">
        <v>0</v>
      </c>
    </row>
    <row r="289" spans="15:20" x14ac:dyDescent="0.3">
      <c r="O289">
        <v>288</v>
      </c>
      <c r="P289" t="s">
        <v>204</v>
      </c>
      <c r="Q289" t="s">
        <v>34</v>
      </c>
      <c r="R289">
        <v>1637</v>
      </c>
      <c r="S289">
        <v>1255</v>
      </c>
      <c r="T289">
        <v>0</v>
      </c>
    </row>
    <row r="290" spans="15:20" x14ac:dyDescent="0.3">
      <c r="O290">
        <v>289</v>
      </c>
      <c r="P290" t="s">
        <v>204</v>
      </c>
      <c r="Q290" t="s">
        <v>37</v>
      </c>
      <c r="R290">
        <v>950</v>
      </c>
      <c r="S290">
        <v>1955</v>
      </c>
      <c r="T290">
        <v>0</v>
      </c>
    </row>
    <row r="291" spans="15:20" x14ac:dyDescent="0.3">
      <c r="O291">
        <v>290</v>
      </c>
      <c r="P291" t="s">
        <v>205</v>
      </c>
      <c r="Q291" t="s">
        <v>34</v>
      </c>
      <c r="R291">
        <v>1337</v>
      </c>
      <c r="S291">
        <v>1567</v>
      </c>
      <c r="T291">
        <v>0</v>
      </c>
    </row>
    <row r="292" spans="15:20" x14ac:dyDescent="0.3">
      <c r="O292">
        <v>291</v>
      </c>
      <c r="P292" t="s">
        <v>205</v>
      </c>
      <c r="Q292" t="s">
        <v>37</v>
      </c>
      <c r="R292">
        <v>1268</v>
      </c>
      <c r="S292">
        <v>1664</v>
      </c>
      <c r="T292">
        <v>0</v>
      </c>
    </row>
    <row r="293" spans="15:20" x14ac:dyDescent="0.3">
      <c r="O293">
        <v>292</v>
      </c>
      <c r="P293" t="s">
        <v>206</v>
      </c>
      <c r="Q293" t="s">
        <v>34</v>
      </c>
      <c r="R293">
        <v>1545</v>
      </c>
      <c r="S293">
        <v>1367</v>
      </c>
      <c r="T293">
        <v>0</v>
      </c>
    </row>
    <row r="294" spans="15:20" x14ac:dyDescent="0.3">
      <c r="O294">
        <v>293</v>
      </c>
      <c r="P294" t="s">
        <v>206</v>
      </c>
      <c r="Q294" t="s">
        <v>37</v>
      </c>
      <c r="R294">
        <v>1241</v>
      </c>
      <c r="S294">
        <v>1680</v>
      </c>
      <c r="T294">
        <v>0</v>
      </c>
    </row>
    <row r="295" spans="15:20" x14ac:dyDescent="0.3">
      <c r="O295">
        <v>294</v>
      </c>
      <c r="P295" t="s">
        <v>207</v>
      </c>
      <c r="Q295" t="s">
        <v>34</v>
      </c>
      <c r="R295">
        <v>1279</v>
      </c>
      <c r="S295">
        <v>1626</v>
      </c>
      <c r="T295">
        <v>0</v>
      </c>
    </row>
    <row r="296" spans="15:20" x14ac:dyDescent="0.3">
      <c r="O296">
        <v>295</v>
      </c>
      <c r="P296" t="s">
        <v>207</v>
      </c>
      <c r="Q296" t="s">
        <v>37</v>
      </c>
      <c r="R296">
        <v>1009</v>
      </c>
      <c r="S296">
        <v>1891</v>
      </c>
      <c r="T296">
        <v>0</v>
      </c>
    </row>
    <row r="297" spans="15:20" x14ac:dyDescent="0.3">
      <c r="O297">
        <v>296</v>
      </c>
      <c r="P297" t="s">
        <v>208</v>
      </c>
      <c r="Q297" t="s">
        <v>34</v>
      </c>
      <c r="R297">
        <v>1462</v>
      </c>
      <c r="S297">
        <v>1478</v>
      </c>
      <c r="T297">
        <v>14</v>
      </c>
    </row>
    <row r="298" spans="15:20" x14ac:dyDescent="0.3">
      <c r="O298">
        <v>297</v>
      </c>
      <c r="P298" t="s">
        <v>208</v>
      </c>
      <c r="Q298" t="s">
        <v>37</v>
      </c>
      <c r="R298">
        <v>760</v>
      </c>
      <c r="S298">
        <v>1951</v>
      </c>
      <c r="T298">
        <v>189</v>
      </c>
    </row>
    <row r="299" spans="15:20" x14ac:dyDescent="0.3">
      <c r="O299">
        <v>298</v>
      </c>
      <c r="P299" t="s">
        <v>209</v>
      </c>
      <c r="Q299" t="s">
        <v>34</v>
      </c>
      <c r="R299">
        <v>1106</v>
      </c>
      <c r="S299">
        <v>392</v>
      </c>
      <c r="T299">
        <v>1391</v>
      </c>
    </row>
    <row r="300" spans="15:20" x14ac:dyDescent="0.3">
      <c r="O300">
        <v>299</v>
      </c>
      <c r="P300" t="s">
        <v>209</v>
      </c>
      <c r="Q300" t="s">
        <v>37</v>
      </c>
      <c r="R300">
        <v>44</v>
      </c>
      <c r="S300">
        <v>640</v>
      </c>
      <c r="T300">
        <v>2193</v>
      </c>
    </row>
    <row r="301" spans="15:20" x14ac:dyDescent="0.3">
      <c r="O301">
        <v>300</v>
      </c>
      <c r="P301" t="s">
        <v>210</v>
      </c>
      <c r="Q301" t="s">
        <v>34</v>
      </c>
      <c r="R301">
        <v>0</v>
      </c>
      <c r="S301">
        <v>0</v>
      </c>
      <c r="T301">
        <v>2804</v>
      </c>
    </row>
    <row r="302" spans="15:20" x14ac:dyDescent="0.3">
      <c r="O302">
        <v>301</v>
      </c>
      <c r="P302" t="s">
        <v>210</v>
      </c>
      <c r="Q302" t="s">
        <v>37</v>
      </c>
      <c r="R302">
        <v>0</v>
      </c>
      <c r="S302">
        <v>0</v>
      </c>
      <c r="T302">
        <v>2880</v>
      </c>
    </row>
    <row r="303" spans="15:20" x14ac:dyDescent="0.3">
      <c r="O303">
        <v>302</v>
      </c>
      <c r="P303" t="s">
        <v>33</v>
      </c>
      <c r="Q303" t="s">
        <v>34</v>
      </c>
      <c r="R303">
        <v>718</v>
      </c>
      <c r="S303">
        <v>1371</v>
      </c>
      <c r="T303">
        <v>802</v>
      </c>
    </row>
    <row r="304" spans="15:20" x14ac:dyDescent="0.3">
      <c r="O304">
        <v>303</v>
      </c>
      <c r="P304" t="s">
        <v>33</v>
      </c>
      <c r="Q304" t="s">
        <v>37</v>
      </c>
      <c r="R304">
        <v>864</v>
      </c>
      <c r="S304">
        <v>2046</v>
      </c>
      <c r="T304">
        <v>0</v>
      </c>
    </row>
    <row r="305" spans="15:20" x14ac:dyDescent="0.3">
      <c r="O305">
        <v>304</v>
      </c>
      <c r="P305" t="s">
        <v>39</v>
      </c>
      <c r="Q305" t="s">
        <v>34</v>
      </c>
      <c r="R305">
        <v>888</v>
      </c>
      <c r="S305">
        <v>2017</v>
      </c>
      <c r="T305">
        <v>0</v>
      </c>
    </row>
    <row r="306" spans="15:20" x14ac:dyDescent="0.3">
      <c r="O306">
        <v>305</v>
      </c>
      <c r="P306" t="s">
        <v>39</v>
      </c>
      <c r="Q306" t="s">
        <v>37</v>
      </c>
      <c r="R306">
        <v>965</v>
      </c>
      <c r="S306">
        <v>1938</v>
      </c>
      <c r="T306">
        <v>0</v>
      </c>
    </row>
    <row r="307" spans="15:20" x14ac:dyDescent="0.3">
      <c r="O307">
        <v>306</v>
      </c>
      <c r="P307" t="s">
        <v>43</v>
      </c>
      <c r="Q307" t="s">
        <v>34</v>
      </c>
      <c r="R307">
        <v>1800</v>
      </c>
      <c r="S307">
        <v>1128</v>
      </c>
      <c r="T307">
        <v>0</v>
      </c>
    </row>
    <row r="308" spans="15:20" x14ac:dyDescent="0.3">
      <c r="O308">
        <v>307</v>
      </c>
      <c r="P308" t="s">
        <v>43</v>
      </c>
      <c r="Q308" t="s">
        <v>37</v>
      </c>
      <c r="R308">
        <v>1123</v>
      </c>
      <c r="S308">
        <v>1788</v>
      </c>
      <c r="T308">
        <v>0</v>
      </c>
    </row>
    <row r="309" spans="15:20" x14ac:dyDescent="0.3">
      <c r="O309">
        <v>308</v>
      </c>
      <c r="P309" t="s">
        <v>48</v>
      </c>
      <c r="Q309" t="s">
        <v>34</v>
      </c>
      <c r="R309">
        <v>1651</v>
      </c>
      <c r="S309">
        <v>1246</v>
      </c>
      <c r="T309">
        <v>0</v>
      </c>
    </row>
    <row r="310" spans="15:20" x14ac:dyDescent="0.3">
      <c r="O310">
        <v>309</v>
      </c>
      <c r="P310" t="s">
        <v>48</v>
      </c>
      <c r="Q310" t="s">
        <v>37</v>
      </c>
      <c r="R310">
        <v>1363</v>
      </c>
      <c r="S310">
        <v>1559</v>
      </c>
      <c r="T310">
        <v>0</v>
      </c>
    </row>
    <row r="311" spans="15:20" x14ac:dyDescent="0.3">
      <c r="O311">
        <v>310</v>
      </c>
      <c r="P311" t="s">
        <v>52</v>
      </c>
      <c r="Q311" t="s">
        <v>34</v>
      </c>
      <c r="R311">
        <v>1213</v>
      </c>
      <c r="S311">
        <v>1686</v>
      </c>
      <c r="T311">
        <v>0</v>
      </c>
    </row>
    <row r="312" spans="15:20" x14ac:dyDescent="0.3">
      <c r="O312">
        <v>311</v>
      </c>
      <c r="P312" t="s">
        <v>52</v>
      </c>
      <c r="Q312" t="s">
        <v>37</v>
      </c>
      <c r="R312">
        <v>1171</v>
      </c>
      <c r="S312">
        <v>1740</v>
      </c>
      <c r="T312">
        <v>0</v>
      </c>
    </row>
    <row r="313" spans="15:20" x14ac:dyDescent="0.3">
      <c r="O313">
        <v>312</v>
      </c>
      <c r="P313" t="s">
        <v>56</v>
      </c>
      <c r="Q313" t="s">
        <v>34</v>
      </c>
      <c r="R313">
        <v>1575</v>
      </c>
      <c r="S313">
        <v>1323</v>
      </c>
      <c r="T313">
        <v>0</v>
      </c>
    </row>
    <row r="314" spans="15:20" x14ac:dyDescent="0.3">
      <c r="O314">
        <v>313</v>
      </c>
      <c r="P314" t="s">
        <v>56</v>
      </c>
      <c r="Q314" t="s">
        <v>37</v>
      </c>
      <c r="R314">
        <v>1333</v>
      </c>
      <c r="S314">
        <v>1562</v>
      </c>
      <c r="T314">
        <v>0</v>
      </c>
    </row>
    <row r="315" spans="15:20" x14ac:dyDescent="0.3">
      <c r="O315">
        <v>314</v>
      </c>
      <c r="P315" t="s">
        <v>60</v>
      </c>
      <c r="Q315" t="s">
        <v>34</v>
      </c>
      <c r="R315">
        <v>1498</v>
      </c>
      <c r="S315">
        <v>1412</v>
      </c>
      <c r="T315">
        <v>0</v>
      </c>
    </row>
    <row r="316" spans="15:20" x14ac:dyDescent="0.3">
      <c r="O316">
        <v>315</v>
      </c>
      <c r="P316" t="s">
        <v>60</v>
      </c>
      <c r="Q316" t="s">
        <v>37</v>
      </c>
      <c r="R316">
        <v>2601</v>
      </c>
      <c r="S316">
        <v>280</v>
      </c>
      <c r="T316">
        <v>0</v>
      </c>
    </row>
    <row r="317" spans="15:20" x14ac:dyDescent="0.3">
      <c r="O317">
        <v>316</v>
      </c>
      <c r="P317" t="s">
        <v>62</v>
      </c>
      <c r="Q317" t="s">
        <v>34</v>
      </c>
      <c r="R317">
        <v>1743</v>
      </c>
      <c r="S317">
        <v>1167</v>
      </c>
      <c r="T317">
        <v>0</v>
      </c>
    </row>
    <row r="318" spans="15:20" x14ac:dyDescent="0.3">
      <c r="O318">
        <v>317</v>
      </c>
      <c r="P318" t="s">
        <v>62</v>
      </c>
      <c r="Q318" t="s">
        <v>37</v>
      </c>
      <c r="R318">
        <v>625</v>
      </c>
      <c r="S318">
        <v>2283</v>
      </c>
      <c r="T318">
        <v>0</v>
      </c>
    </row>
    <row r="319" spans="15:20" x14ac:dyDescent="0.3">
      <c r="O319">
        <v>318</v>
      </c>
      <c r="P319" t="s">
        <v>64</v>
      </c>
      <c r="Q319" t="s">
        <v>34</v>
      </c>
      <c r="R319">
        <v>1138</v>
      </c>
      <c r="S319">
        <v>1774</v>
      </c>
      <c r="T319">
        <v>0</v>
      </c>
    </row>
    <row r="320" spans="15:20" x14ac:dyDescent="0.3">
      <c r="O320">
        <v>319</v>
      </c>
      <c r="P320" t="s">
        <v>64</v>
      </c>
      <c r="Q320" t="s">
        <v>37</v>
      </c>
      <c r="R320">
        <v>1418</v>
      </c>
      <c r="S320">
        <v>1481</v>
      </c>
      <c r="T320">
        <v>0</v>
      </c>
    </row>
    <row r="321" spans="15:20" x14ac:dyDescent="0.3">
      <c r="O321">
        <v>320</v>
      </c>
      <c r="P321" t="s">
        <v>66</v>
      </c>
      <c r="Q321" t="s">
        <v>34</v>
      </c>
      <c r="R321">
        <v>1337</v>
      </c>
      <c r="S321">
        <v>1577</v>
      </c>
      <c r="T321">
        <v>0</v>
      </c>
    </row>
    <row r="322" spans="15:20" x14ac:dyDescent="0.3">
      <c r="O322">
        <v>321</v>
      </c>
      <c r="P322" t="s">
        <v>66</v>
      </c>
      <c r="Q322" t="s">
        <v>37</v>
      </c>
      <c r="R322">
        <v>979</v>
      </c>
      <c r="S322">
        <v>1922</v>
      </c>
      <c r="T322">
        <v>0</v>
      </c>
    </row>
    <row r="323" spans="15:20" x14ac:dyDescent="0.3">
      <c r="O323">
        <v>322</v>
      </c>
      <c r="P323" t="s">
        <v>68</v>
      </c>
      <c r="Q323" t="s">
        <v>34</v>
      </c>
      <c r="R323">
        <v>1188</v>
      </c>
      <c r="S323">
        <v>1703</v>
      </c>
      <c r="T323">
        <v>0</v>
      </c>
    </row>
    <row r="324" spans="15:20" x14ac:dyDescent="0.3">
      <c r="O324">
        <v>323</v>
      </c>
      <c r="P324" t="s">
        <v>68</v>
      </c>
      <c r="Q324" t="s">
        <v>37</v>
      </c>
      <c r="R324">
        <v>1183</v>
      </c>
      <c r="S324">
        <v>1732</v>
      </c>
      <c r="T324">
        <v>0</v>
      </c>
    </row>
    <row r="325" spans="15:20" x14ac:dyDescent="0.3">
      <c r="O325">
        <v>324</v>
      </c>
      <c r="P325" t="s">
        <v>70</v>
      </c>
      <c r="Q325" t="s">
        <v>34</v>
      </c>
      <c r="R325">
        <v>1394</v>
      </c>
      <c r="S325">
        <v>1502</v>
      </c>
      <c r="T325">
        <v>0</v>
      </c>
    </row>
    <row r="326" spans="15:20" x14ac:dyDescent="0.3">
      <c r="O326">
        <v>325</v>
      </c>
      <c r="P326" t="s">
        <v>70</v>
      </c>
      <c r="Q326" t="s">
        <v>37</v>
      </c>
      <c r="R326">
        <v>674</v>
      </c>
      <c r="S326">
        <v>2224</v>
      </c>
      <c r="T326">
        <v>0</v>
      </c>
    </row>
    <row r="327" spans="15:20" x14ac:dyDescent="0.3">
      <c r="O327">
        <v>326</v>
      </c>
      <c r="P327" t="s">
        <v>72</v>
      </c>
      <c r="Q327" t="s">
        <v>34</v>
      </c>
      <c r="R327">
        <v>1107</v>
      </c>
      <c r="S327">
        <v>1771</v>
      </c>
      <c r="T327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327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684</v>
      </c>
      <c r="E2">
        <v>1404</v>
      </c>
      <c r="F2">
        <v>794</v>
      </c>
      <c r="H2" t="s">
        <v>35</v>
      </c>
      <c r="I2" s="1">
        <v>0.81882352941176462</v>
      </c>
      <c r="J2" s="1">
        <v>0.84252631578947357</v>
      </c>
      <c r="K2" s="1">
        <f>IFERROR(SUMIFS(S:S,P:P,"*/01/2026")/(SUMIFS(R:R,P:P,"*/01/2026")+SUMIFS(S:S,P:P,"*/01/2026")+SUMIFS(T:T,P:P,"*/01/2026")),"")</f>
        <v>0.53119716881184775</v>
      </c>
      <c r="L2" s="1">
        <f>IFERROR(SUMIFS(R:R,P:P,"*/01/2026")/(SUMIFS(R:R,P:P,"*/01/2026")+SUMIFS(S:S,P:P,"*/01/2026")+SUMIFS(T:T,P:P,"*/01/2026")),"")</f>
        <v>0.28754254671685864</v>
      </c>
      <c r="M2" s="1">
        <f>IFERROR(SUMIFS(T:T,P:P,"*/01/2026")/(SUMIFS(R:R,P:P,"*/01/2026")+SUMIFS(S:S,P:P,"*/01/2026")+SUMIFS(T:T,P:P,"*/01/2026")),"")</f>
        <v>0.18126028447129364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2880</v>
      </c>
    </row>
    <row r="3" spans="1:20" x14ac:dyDescent="0.3">
      <c r="A3">
        <v>2</v>
      </c>
      <c r="B3" t="s">
        <v>33</v>
      </c>
      <c r="C3" t="s">
        <v>37</v>
      </c>
      <c r="D3">
        <v>750</v>
      </c>
      <c r="E3">
        <v>2131</v>
      </c>
      <c r="F3">
        <v>0</v>
      </c>
      <c r="H3" t="s">
        <v>38</v>
      </c>
      <c r="I3" s="1">
        <v>0.81882352941176462</v>
      </c>
      <c r="J3" s="1">
        <v>0.84252631578947357</v>
      </c>
      <c r="K3" s="1">
        <f>IFERROR(SUMIFS(S:S,P:P,"*/02/2026")/(SUMIFS(R:R,P:P,"*/02/2026")+SUMIFS(S:S,P:P,"*/02/2026")+SUMIFS(T:T,P:P,"*/02/2026")),"")</f>
        <v>0.39814005393843577</v>
      </c>
      <c r="L3" s="1">
        <f>IFERROR(SUMIFS(R:R,P:P,"*/02/2026")/(SUMIFS(R:R,P:P,"*/02/2026")+SUMIFS(S:S,P:P,"*/02/2026")+SUMIFS(T:T,P:P,"*/02/2026")),"")</f>
        <v>0.22337952199386218</v>
      </c>
      <c r="M3" s="1">
        <f>IFERROR(SUMIFS(T:T,P:P,"*/02/2026")/(SUMIFS(R:R,P:P,"*/02/2026")+SUMIFS(S:S,P:P,"*/02/2026")+SUMIFS(T:T,P:P,"*/02/2026")),"")</f>
        <v>0.37848042406770205</v>
      </c>
      <c r="O3">
        <v>2</v>
      </c>
      <c r="P3" t="s">
        <v>36</v>
      </c>
      <c r="Q3" t="s">
        <v>37</v>
      </c>
      <c r="R3">
        <v>164</v>
      </c>
      <c r="S3">
        <v>136</v>
      </c>
      <c r="T3">
        <v>2575</v>
      </c>
    </row>
    <row r="4" spans="1:20" x14ac:dyDescent="0.3">
      <c r="A4">
        <v>3</v>
      </c>
      <c r="B4" t="s">
        <v>39</v>
      </c>
      <c r="C4" t="s">
        <v>34</v>
      </c>
      <c r="D4">
        <v>1194</v>
      </c>
      <c r="E4">
        <v>1687</v>
      </c>
      <c r="F4">
        <v>0</v>
      </c>
      <c r="H4" t="s">
        <v>40</v>
      </c>
      <c r="I4" s="1">
        <v>0.81882352941176462</v>
      </c>
      <c r="J4" s="1">
        <v>0.84252631578947357</v>
      </c>
      <c r="K4" s="1">
        <f>IFERROR(SUMIFS(S:S,P:P,"*/03/2026")/(SUMIFS(R:R,P:P,"*/03/2026")+SUMIFS(S:S,P:P,"*/03/2026")+SUMIFS(T:T,P:P,"*/03/2026")),"")</f>
        <v>0.59869893166587218</v>
      </c>
      <c r="L4" s="1">
        <f>IFERROR(SUMIFS(R:R,P:P,"*/03/2026")/(SUMIFS(R:R,P:P,"*/03/2026")+SUMIFS(S:S,P:P,"*/03/2026")+SUMIFS(T:T,P:P,"*/03/2026")),"")</f>
        <v>0.30992345007430672</v>
      </c>
      <c r="M4" s="1">
        <f>IFERROR(SUMIFS(T:T,P:P,"*/03/2026")/(SUMIFS(R:R,P:P,"*/03/2026")+SUMIFS(S:S,P:P,"*/03/2026")+SUMIFS(T:T,P:P,"*/03/2026")),"")</f>
        <v>9.1377618259821103E-2</v>
      </c>
      <c r="O4">
        <v>3</v>
      </c>
      <c r="P4" t="s">
        <v>41</v>
      </c>
      <c r="Q4" t="s">
        <v>34</v>
      </c>
      <c r="R4">
        <v>832</v>
      </c>
      <c r="S4">
        <v>2051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975</v>
      </c>
      <c r="E5">
        <v>1910</v>
      </c>
      <c r="F5">
        <v>0</v>
      </c>
      <c r="H5" t="s">
        <v>42</v>
      </c>
      <c r="I5" s="1">
        <v>0.81882352941176462</v>
      </c>
      <c r="J5" s="1">
        <v>0.84252631578947357</v>
      </c>
      <c r="K5" s="1">
        <f>IFERROR(SUMIFS(S:S,P:P,"*/04/2026")/(SUMIFS(R:R,P:P,"*/04/2026")+SUMIFS(S:S,P:P,"*/04/2026")+SUMIFS(T:T,P:P,"*/04/2026")),"")</f>
        <v>0.56341474702363736</v>
      </c>
      <c r="L5" s="1">
        <f>IFERROR(SUMIFS(R:R,P:P,"*/04/2026")/(SUMIFS(R:R,P:P,"*/04/2026")+SUMIFS(S:S,P:P,"*/04/2026")+SUMIFS(T:T,P:P,"*/04/2026")),"")</f>
        <v>0.34952158369103681</v>
      </c>
      <c r="M5" s="1">
        <f>IFERROR(SUMIFS(T:T,P:P,"*/04/2026")/(SUMIFS(R:R,P:P,"*/04/2026")+SUMIFS(S:S,P:P,"*/04/2026")+SUMIFS(T:T,P:P,"*/04/2026")),"")</f>
        <v>8.706366928532587E-2</v>
      </c>
      <c r="O5">
        <v>4</v>
      </c>
      <c r="P5" t="s">
        <v>41</v>
      </c>
      <c r="Q5" t="s">
        <v>37</v>
      </c>
      <c r="R5">
        <v>505</v>
      </c>
      <c r="S5">
        <v>1021</v>
      </c>
      <c r="T5">
        <v>1351</v>
      </c>
    </row>
    <row r="6" spans="1:20" x14ac:dyDescent="0.3">
      <c r="A6">
        <v>5</v>
      </c>
      <c r="B6" t="s">
        <v>43</v>
      </c>
      <c r="C6" t="s">
        <v>34</v>
      </c>
      <c r="D6">
        <v>1536</v>
      </c>
      <c r="E6">
        <v>1343</v>
      </c>
      <c r="F6">
        <v>0</v>
      </c>
      <c r="H6" t="s">
        <v>44</v>
      </c>
      <c r="I6" s="1">
        <v>0.81882352941176462</v>
      </c>
      <c r="J6" s="1">
        <v>0.84252631578947357</v>
      </c>
      <c r="K6" s="1">
        <f>IFERROR(SUMIFS(S:S,P:P,"*/05/2026")/(SUMIFS(R:R,P:P,"*/05/2026")+SUMIFS(S:S,P:P,"*/05/2026")+SUMIFS(T:T,P:P,"*/05/2026")),"")</f>
        <v>0.53236378303884546</v>
      </c>
      <c r="L6" s="1">
        <f>IFERROR(SUMIFS(R:R,P:P,"*/05/2026")/(SUMIFS(R:R,P:P,"*/05/2026")+SUMIFS(S:S,P:P,"*/05/2026")+SUMIFS(T:T,P:P,"*/05/2026")),"")</f>
        <v>0.41613539344096984</v>
      </c>
      <c r="M6" s="1">
        <f>IFERROR(SUMIFS(T:T,P:P,"*/05/2026")/(SUMIFS(R:R,P:P,"*/05/2026")+SUMIFS(S:S,P:P,"*/05/2026")+SUMIFS(T:T,P:P,"*/05/2026")),"")</f>
        <v>5.1500823520184646E-2</v>
      </c>
      <c r="O6">
        <v>5</v>
      </c>
      <c r="P6" t="s">
        <v>45</v>
      </c>
      <c r="Q6" t="s">
        <v>37</v>
      </c>
      <c r="R6">
        <v>908</v>
      </c>
      <c r="S6">
        <v>3127</v>
      </c>
      <c r="T6">
        <v>647</v>
      </c>
    </row>
    <row r="7" spans="1:20" x14ac:dyDescent="0.3">
      <c r="A7">
        <v>6</v>
      </c>
      <c r="B7" t="s">
        <v>43</v>
      </c>
      <c r="C7" t="s">
        <v>37</v>
      </c>
      <c r="D7">
        <v>828</v>
      </c>
      <c r="E7">
        <v>2055</v>
      </c>
      <c r="F7">
        <v>0</v>
      </c>
      <c r="H7" t="s">
        <v>46</v>
      </c>
      <c r="I7" s="1">
        <v>0.81882352941176462</v>
      </c>
      <c r="J7" s="1">
        <v>0.84252631578947357</v>
      </c>
      <c r="K7" s="1">
        <f>IFERROR(SUMIFS(S:S,P:P,"*/06/2026")/(SUMIFS(R:R,P:P,"*/06/2026")+SUMIFS(S:S,P:P,"*/06/2026")+SUMIFS(T:T,P:P,"*/06/2026")),"")</f>
        <v>0.59690363787836709</v>
      </c>
      <c r="L7" s="1">
        <f>IFERROR(SUMIFS(R:R,P:P,"*/06/2026")/(SUMIFS(R:R,P:P,"*/06/2026")+SUMIFS(S:S,P:P,"*/06/2026")+SUMIFS(T:T,P:P,"*/06/2026")),"")</f>
        <v>0.37921410719244653</v>
      </c>
      <c r="M7" s="1">
        <f>IFERROR(SUMIFS(T:T,P:P,"*/06/2026")/(SUMIFS(R:R,P:P,"*/06/2026")+SUMIFS(S:S,P:P,"*/06/2026")+SUMIFS(T:T,P:P,"*/06/2026")),"")</f>
        <v>2.3882254929186338E-2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2880</v>
      </c>
    </row>
    <row r="8" spans="1:20" x14ac:dyDescent="0.3">
      <c r="A8">
        <v>7</v>
      </c>
      <c r="B8" t="s">
        <v>48</v>
      </c>
      <c r="C8" t="s">
        <v>34</v>
      </c>
      <c r="D8">
        <v>1244</v>
      </c>
      <c r="E8">
        <v>1639</v>
      </c>
      <c r="F8">
        <v>0</v>
      </c>
      <c r="H8" t="s">
        <v>49</v>
      </c>
      <c r="I8" s="1">
        <v>0.81882352941176462</v>
      </c>
      <c r="J8" s="1">
        <v>0.84252631578947357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2880</v>
      </c>
    </row>
    <row r="9" spans="1:20" x14ac:dyDescent="0.3">
      <c r="A9">
        <v>8</v>
      </c>
      <c r="B9" t="s">
        <v>48</v>
      </c>
      <c r="C9" t="s">
        <v>37</v>
      </c>
      <c r="D9">
        <v>1072</v>
      </c>
      <c r="E9">
        <v>1809</v>
      </c>
      <c r="F9">
        <v>0</v>
      </c>
      <c r="H9" t="s">
        <v>50</v>
      </c>
      <c r="I9" s="1">
        <v>0.81882352941176462</v>
      </c>
      <c r="J9" s="1">
        <v>0.84252631578947357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423</v>
      </c>
      <c r="S9">
        <v>1670</v>
      </c>
      <c r="T9">
        <v>784</v>
      </c>
    </row>
    <row r="10" spans="1:20" x14ac:dyDescent="0.3">
      <c r="A10">
        <v>9</v>
      </c>
      <c r="B10" t="s">
        <v>52</v>
      </c>
      <c r="C10" t="s">
        <v>34</v>
      </c>
      <c r="D10">
        <v>1375</v>
      </c>
      <c r="E10">
        <v>1508</v>
      </c>
      <c r="F10">
        <v>0</v>
      </c>
      <c r="H10" t="s">
        <v>53</v>
      </c>
      <c r="I10" s="1">
        <v>0.81882352941176462</v>
      </c>
      <c r="J10" s="1">
        <v>0.84252631578947357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615</v>
      </c>
      <c r="S10">
        <v>1983</v>
      </c>
      <c r="T10">
        <v>248</v>
      </c>
    </row>
    <row r="11" spans="1:20" x14ac:dyDescent="0.3">
      <c r="A11">
        <v>10</v>
      </c>
      <c r="B11" t="s">
        <v>52</v>
      </c>
      <c r="C11" t="s">
        <v>37</v>
      </c>
      <c r="D11">
        <v>712</v>
      </c>
      <c r="E11">
        <v>2170</v>
      </c>
      <c r="F11">
        <v>0</v>
      </c>
      <c r="H11" t="s">
        <v>54</v>
      </c>
      <c r="I11" s="1">
        <v>0.81882352941176462</v>
      </c>
      <c r="J11" s="1">
        <v>0.84252631578947357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991</v>
      </c>
      <c r="S11">
        <v>1481</v>
      </c>
      <c r="T11">
        <v>409</v>
      </c>
    </row>
    <row r="12" spans="1:20" x14ac:dyDescent="0.3">
      <c r="A12">
        <v>11</v>
      </c>
      <c r="B12" t="s">
        <v>56</v>
      </c>
      <c r="C12" t="s">
        <v>34</v>
      </c>
      <c r="D12">
        <v>1190</v>
      </c>
      <c r="E12">
        <v>1689</v>
      </c>
      <c r="F12">
        <v>0</v>
      </c>
      <c r="H12" t="s">
        <v>57</v>
      </c>
      <c r="I12" s="1">
        <v>0.81882352941176462</v>
      </c>
      <c r="J12" s="1">
        <v>0.84252631578947357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882</v>
      </c>
      <c r="S12">
        <v>2000</v>
      </c>
      <c r="T12">
        <v>0</v>
      </c>
    </row>
    <row r="13" spans="1:20" x14ac:dyDescent="0.3">
      <c r="A13">
        <v>12</v>
      </c>
      <c r="B13" t="s">
        <v>56</v>
      </c>
      <c r="C13" t="s">
        <v>37</v>
      </c>
      <c r="D13">
        <v>1306</v>
      </c>
      <c r="E13">
        <v>1573</v>
      </c>
      <c r="F13">
        <v>0</v>
      </c>
      <c r="H13" t="s">
        <v>58</v>
      </c>
      <c r="I13" s="1">
        <v>0.81882352941176462</v>
      </c>
      <c r="J13" s="1">
        <v>0.84252631578947357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758</v>
      </c>
      <c r="S13">
        <v>642</v>
      </c>
      <c r="T13">
        <v>1475</v>
      </c>
    </row>
    <row r="14" spans="1:20" x14ac:dyDescent="0.3">
      <c r="A14">
        <v>13</v>
      </c>
      <c r="B14" t="s">
        <v>60</v>
      </c>
      <c r="C14" t="s">
        <v>34</v>
      </c>
      <c r="D14">
        <v>1430</v>
      </c>
      <c r="E14">
        <v>1441</v>
      </c>
      <c r="F14">
        <v>6</v>
      </c>
      <c r="H14" t="str">
        <f>IF(B2="","",TEXT(B2,"dd/mm")&amp; "-" &amp;IF(UPPER(TRIM(C2))="CN",1,IF(UPPER(TRIM(C2))="CD",2,"")))</f>
        <v>01/06-1</v>
      </c>
      <c r="I14" s="1">
        <v>0.81882352941176462</v>
      </c>
      <c r="J14" s="1">
        <v>0.84252631578947357</v>
      </c>
      <c r="K14" s="1">
        <f t="shared" ref="K14:K45" si="0">IFERROR($E2/SUM($D2:$F2),"")</f>
        <v>0.48716169326856351</v>
      </c>
      <c r="L14" s="1">
        <f t="shared" ref="L14:L45" si="1">IFERROR($D2/SUM($D2:$F2),"")</f>
        <v>0.23733518390006939</v>
      </c>
      <c r="M14" s="1">
        <f t="shared" ref="M14:M45" si="2">IFERROR($F2/SUM($D2:$F2),"")</f>
        <v>0.27550312283136713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2880</v>
      </c>
    </row>
    <row r="15" spans="1:20" x14ac:dyDescent="0.3">
      <c r="A15">
        <v>14</v>
      </c>
      <c r="B15" t="s">
        <v>60</v>
      </c>
      <c r="C15" t="s">
        <v>37</v>
      </c>
      <c r="D15">
        <v>1946</v>
      </c>
      <c r="E15">
        <v>212</v>
      </c>
      <c r="F15">
        <v>720</v>
      </c>
      <c r="H15" t="str">
        <f t="shared" ref="H15:H46" si="3">IF(B3="","",TEXT(B3,"dd/mm") &amp; "-" &amp; IF(UPPER(TRIM(C3))="CN",1,IF(UPPER(TRIM(C3))="CD",2,"")))</f>
        <v>01/06-2</v>
      </c>
      <c r="I15" s="1">
        <v>0.81882352941176462</v>
      </c>
      <c r="J15" s="1">
        <v>0.84252631578947357</v>
      </c>
      <c r="K15" s="1">
        <f t="shared" si="0"/>
        <v>0.73967372440124957</v>
      </c>
      <c r="L15" s="1">
        <f t="shared" si="1"/>
        <v>0.26032627559875043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524</v>
      </c>
      <c r="S15">
        <v>1542</v>
      </c>
      <c r="T15">
        <v>812</v>
      </c>
    </row>
    <row r="16" spans="1:20" x14ac:dyDescent="0.3">
      <c r="A16">
        <v>15</v>
      </c>
      <c r="B16" t="s">
        <v>62</v>
      </c>
      <c r="C16" t="s">
        <v>34</v>
      </c>
      <c r="D16">
        <v>1172</v>
      </c>
      <c r="E16">
        <v>1509</v>
      </c>
      <c r="F16">
        <v>200</v>
      </c>
      <c r="H16" t="str">
        <f t="shared" si="3"/>
        <v>02/06-1</v>
      </c>
      <c r="I16" s="1">
        <v>0.81882352941176462</v>
      </c>
      <c r="J16" s="1">
        <v>0.84252631578947357</v>
      </c>
      <c r="K16" s="1">
        <f t="shared" si="0"/>
        <v>0.58556056924678934</v>
      </c>
      <c r="L16" s="1">
        <f t="shared" si="1"/>
        <v>0.41443943075321071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945</v>
      </c>
      <c r="S16">
        <v>1938</v>
      </c>
      <c r="T16">
        <v>0</v>
      </c>
    </row>
    <row r="17" spans="1:20" x14ac:dyDescent="0.3">
      <c r="A17">
        <v>16</v>
      </c>
      <c r="B17" t="s">
        <v>62</v>
      </c>
      <c r="C17" t="s">
        <v>37</v>
      </c>
      <c r="D17">
        <v>495</v>
      </c>
      <c r="E17">
        <v>2385</v>
      </c>
      <c r="F17">
        <v>0</v>
      </c>
      <c r="H17" t="str">
        <f t="shared" si="3"/>
        <v>02/06-2</v>
      </c>
      <c r="I17" s="1">
        <v>0.81882352941176462</v>
      </c>
      <c r="J17" s="1">
        <v>0.84252631578947357</v>
      </c>
      <c r="K17" s="1">
        <f t="shared" si="0"/>
        <v>0.66204506065857882</v>
      </c>
      <c r="L17" s="1">
        <f t="shared" si="1"/>
        <v>0.33795493934142112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1363</v>
      </c>
      <c r="S17">
        <v>1517</v>
      </c>
      <c r="T17">
        <v>0</v>
      </c>
    </row>
    <row r="18" spans="1:20" x14ac:dyDescent="0.3">
      <c r="A18">
        <v>17</v>
      </c>
      <c r="B18" t="s">
        <v>64</v>
      </c>
      <c r="C18" t="s">
        <v>34</v>
      </c>
      <c r="D18">
        <v>1234</v>
      </c>
      <c r="E18">
        <v>1649</v>
      </c>
      <c r="F18">
        <v>0</v>
      </c>
      <c r="H18" t="str">
        <f t="shared" si="3"/>
        <v>03/06-1</v>
      </c>
      <c r="I18" s="1">
        <v>0.81882352941176462</v>
      </c>
      <c r="J18" s="1">
        <v>0.84252631578947357</v>
      </c>
      <c r="K18" s="1">
        <f t="shared" si="0"/>
        <v>0.46648141715873565</v>
      </c>
      <c r="L18" s="1">
        <f t="shared" si="1"/>
        <v>0.5335185828412643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1090</v>
      </c>
      <c r="S18">
        <v>1790</v>
      </c>
      <c r="T18">
        <v>0</v>
      </c>
    </row>
    <row r="19" spans="1:20" x14ac:dyDescent="0.3">
      <c r="A19">
        <v>18</v>
      </c>
      <c r="B19" t="s">
        <v>64</v>
      </c>
      <c r="C19" t="s">
        <v>37</v>
      </c>
      <c r="D19">
        <v>892</v>
      </c>
      <c r="E19">
        <v>1990</v>
      </c>
      <c r="F19">
        <v>0</v>
      </c>
      <c r="H19" t="str">
        <f t="shared" si="3"/>
        <v>03/06-2</v>
      </c>
      <c r="I19" s="1">
        <v>0.81882352941176462</v>
      </c>
      <c r="J19" s="1">
        <v>0.84252631578947357</v>
      </c>
      <c r="K19" s="1">
        <f t="shared" si="0"/>
        <v>0.71279916753381889</v>
      </c>
      <c r="L19" s="1">
        <f t="shared" si="1"/>
        <v>0.28720083246618106</v>
      </c>
      <c r="M19" s="1">
        <f t="shared" si="2"/>
        <v>0</v>
      </c>
      <c r="O19">
        <v>18</v>
      </c>
      <c r="P19" t="s">
        <v>65</v>
      </c>
      <c r="Q19" t="s">
        <v>34</v>
      </c>
      <c r="R19">
        <v>1434</v>
      </c>
      <c r="S19">
        <v>1426</v>
      </c>
      <c r="T19">
        <v>16</v>
      </c>
    </row>
    <row r="20" spans="1:20" x14ac:dyDescent="0.3">
      <c r="A20">
        <v>19</v>
      </c>
      <c r="B20" t="s">
        <v>66</v>
      </c>
      <c r="C20" t="s">
        <v>34</v>
      </c>
      <c r="D20">
        <v>1250</v>
      </c>
      <c r="E20">
        <v>1630</v>
      </c>
      <c r="F20">
        <v>0</v>
      </c>
      <c r="H20" t="str">
        <f t="shared" si="3"/>
        <v>04/06-1</v>
      </c>
      <c r="I20" s="1">
        <v>0.81882352941176462</v>
      </c>
      <c r="J20" s="1">
        <v>0.84252631578947357</v>
      </c>
      <c r="K20" s="1">
        <f t="shared" si="0"/>
        <v>0.56850502948317727</v>
      </c>
      <c r="L20" s="1">
        <f t="shared" si="1"/>
        <v>0.43149497051682273</v>
      </c>
      <c r="M20" s="1">
        <f t="shared" si="2"/>
        <v>0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2880</v>
      </c>
    </row>
    <row r="21" spans="1:20" x14ac:dyDescent="0.3">
      <c r="A21">
        <v>20</v>
      </c>
      <c r="B21" t="s">
        <v>66</v>
      </c>
      <c r="C21" t="s">
        <v>37</v>
      </c>
      <c r="D21">
        <v>759</v>
      </c>
      <c r="E21">
        <v>2120</v>
      </c>
      <c r="F21">
        <v>0</v>
      </c>
      <c r="H21" t="str">
        <f t="shared" si="3"/>
        <v>04/06-2</v>
      </c>
      <c r="I21" s="1">
        <v>0.81882352941176462</v>
      </c>
      <c r="J21" s="1">
        <v>0.84252631578947357</v>
      </c>
      <c r="K21" s="1">
        <f t="shared" si="0"/>
        <v>0.62790697674418605</v>
      </c>
      <c r="L21" s="1">
        <f t="shared" si="1"/>
        <v>0.37209302325581395</v>
      </c>
      <c r="M21" s="1">
        <f t="shared" si="2"/>
        <v>0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2880</v>
      </c>
    </row>
    <row r="22" spans="1:20" x14ac:dyDescent="0.3">
      <c r="A22">
        <v>21</v>
      </c>
      <c r="B22" t="s">
        <v>68</v>
      </c>
      <c r="C22" t="s">
        <v>34</v>
      </c>
      <c r="D22">
        <v>1170</v>
      </c>
      <c r="E22">
        <v>1710</v>
      </c>
      <c r="F22">
        <v>0</v>
      </c>
      <c r="H22" t="str">
        <f t="shared" si="3"/>
        <v>05/06-1</v>
      </c>
      <c r="I22" s="1">
        <v>0.81882352941176462</v>
      </c>
      <c r="J22" s="1">
        <v>0.84252631578947357</v>
      </c>
      <c r="K22" s="1">
        <f t="shared" si="0"/>
        <v>0.52306625043357613</v>
      </c>
      <c r="L22" s="1">
        <f t="shared" si="1"/>
        <v>0.47693374956642387</v>
      </c>
      <c r="M22" s="1">
        <f t="shared" si="2"/>
        <v>0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2880</v>
      </c>
    </row>
    <row r="23" spans="1:20" x14ac:dyDescent="0.3">
      <c r="A23">
        <v>22</v>
      </c>
      <c r="B23" t="s">
        <v>68</v>
      </c>
      <c r="C23" t="s">
        <v>37</v>
      </c>
      <c r="D23">
        <v>640</v>
      </c>
      <c r="E23">
        <v>2239</v>
      </c>
      <c r="F23">
        <v>0</v>
      </c>
      <c r="H23" t="str">
        <f t="shared" si="3"/>
        <v>05/06-2</v>
      </c>
      <c r="I23" s="1">
        <v>0.81882352941176462</v>
      </c>
      <c r="J23" s="1">
        <v>0.84252631578947357</v>
      </c>
      <c r="K23" s="1">
        <f t="shared" si="0"/>
        <v>0.75294934073560027</v>
      </c>
      <c r="L23" s="1">
        <f t="shared" si="1"/>
        <v>0.24705065926439973</v>
      </c>
      <c r="M23" s="1">
        <f t="shared" si="2"/>
        <v>0</v>
      </c>
      <c r="O23">
        <v>22</v>
      </c>
      <c r="P23" t="s">
        <v>69</v>
      </c>
      <c r="Q23" t="s">
        <v>34</v>
      </c>
      <c r="R23">
        <v>683</v>
      </c>
      <c r="S23">
        <v>1374</v>
      </c>
      <c r="T23">
        <v>824</v>
      </c>
    </row>
    <row r="24" spans="1:20" x14ac:dyDescent="0.3">
      <c r="A24">
        <v>23</v>
      </c>
      <c r="B24" t="s">
        <v>70</v>
      </c>
      <c r="C24" t="s">
        <v>34</v>
      </c>
      <c r="D24">
        <v>1230</v>
      </c>
      <c r="E24">
        <v>1650</v>
      </c>
      <c r="F24">
        <v>0</v>
      </c>
      <c r="H24" t="str">
        <f t="shared" si="3"/>
        <v>06/06-1</v>
      </c>
      <c r="I24" s="1">
        <v>0.81882352941176462</v>
      </c>
      <c r="J24" s="1">
        <v>0.84252631578947357</v>
      </c>
      <c r="K24" s="1">
        <f t="shared" si="0"/>
        <v>0.58666203542896844</v>
      </c>
      <c r="L24" s="1">
        <f t="shared" si="1"/>
        <v>0.41333796457103161</v>
      </c>
      <c r="M24" s="1">
        <f t="shared" si="2"/>
        <v>0</v>
      </c>
      <c r="O24">
        <v>23</v>
      </c>
      <c r="P24" t="s">
        <v>69</v>
      </c>
      <c r="Q24" t="s">
        <v>37</v>
      </c>
      <c r="R24">
        <v>1084</v>
      </c>
      <c r="S24">
        <v>1796</v>
      </c>
      <c r="T24">
        <v>0</v>
      </c>
    </row>
    <row r="25" spans="1:20" x14ac:dyDescent="0.3">
      <c r="A25">
        <v>24</v>
      </c>
      <c r="B25" t="s">
        <v>70</v>
      </c>
      <c r="C25" t="s">
        <v>37</v>
      </c>
      <c r="D25">
        <v>897</v>
      </c>
      <c r="E25">
        <v>1985</v>
      </c>
      <c r="F25">
        <v>0</v>
      </c>
      <c r="H25" t="str">
        <f t="shared" si="3"/>
        <v>06/06-2</v>
      </c>
      <c r="I25" s="1">
        <v>0.81882352941176462</v>
      </c>
      <c r="J25" s="1">
        <v>0.84252631578947357</v>
      </c>
      <c r="K25" s="1">
        <f t="shared" si="0"/>
        <v>0.5463702674539771</v>
      </c>
      <c r="L25" s="1">
        <f t="shared" si="1"/>
        <v>0.4536297325460229</v>
      </c>
      <c r="M25" s="1">
        <f t="shared" si="2"/>
        <v>0</v>
      </c>
      <c r="O25">
        <v>24</v>
      </c>
      <c r="P25" t="s">
        <v>71</v>
      </c>
      <c r="Q25" t="s">
        <v>34</v>
      </c>
      <c r="R25">
        <v>1197</v>
      </c>
      <c r="S25">
        <v>1684</v>
      </c>
      <c r="T25">
        <v>0</v>
      </c>
    </row>
    <row r="26" spans="1:20" x14ac:dyDescent="0.3">
      <c r="A26">
        <v>25</v>
      </c>
      <c r="B26" t="s">
        <v>72</v>
      </c>
      <c r="C26" t="s">
        <v>34</v>
      </c>
      <c r="D26">
        <v>1330</v>
      </c>
      <c r="E26">
        <v>1551</v>
      </c>
      <c r="F26">
        <v>0</v>
      </c>
      <c r="H26" t="str">
        <f t="shared" si="3"/>
        <v>07/06-1</v>
      </c>
      <c r="I26" s="1">
        <v>0.81882352941176462</v>
      </c>
      <c r="J26" s="1">
        <v>0.84252631578947357</v>
      </c>
      <c r="K26" s="1">
        <f t="shared" si="0"/>
        <v>0.50086896072297538</v>
      </c>
      <c r="L26" s="1">
        <f t="shared" si="1"/>
        <v>0.49704553354188391</v>
      </c>
      <c r="M26" s="1">
        <f t="shared" si="2"/>
        <v>2.0855057351407717E-3</v>
      </c>
      <c r="O26">
        <v>25</v>
      </c>
      <c r="P26" t="s">
        <v>71</v>
      </c>
      <c r="Q26" t="s">
        <v>37</v>
      </c>
      <c r="R26">
        <v>932</v>
      </c>
      <c r="S26">
        <v>1946</v>
      </c>
      <c r="T26">
        <v>4</v>
      </c>
    </row>
    <row r="27" spans="1:20" x14ac:dyDescent="0.3">
      <c r="H27" t="str">
        <f t="shared" si="3"/>
        <v>07/06-2</v>
      </c>
      <c r="I27" s="1">
        <v>0.81882352941176462</v>
      </c>
      <c r="J27" s="1">
        <v>0.84252631578947357</v>
      </c>
      <c r="K27" s="1">
        <f t="shared" si="0"/>
        <v>7.3662265462126481E-2</v>
      </c>
      <c r="L27" s="1">
        <f t="shared" si="1"/>
        <v>0.67616400277970812</v>
      </c>
      <c r="M27" s="1">
        <f t="shared" si="2"/>
        <v>0.25017373175816537</v>
      </c>
      <c r="O27">
        <v>26</v>
      </c>
      <c r="P27" t="s">
        <v>73</v>
      </c>
      <c r="Q27" t="s">
        <v>34</v>
      </c>
      <c r="R27">
        <v>1375</v>
      </c>
      <c r="S27">
        <v>1506</v>
      </c>
      <c r="T27">
        <v>0</v>
      </c>
    </row>
    <row r="28" spans="1:20" x14ac:dyDescent="0.3">
      <c r="H28" t="str">
        <f t="shared" si="3"/>
        <v>08/06-1</v>
      </c>
      <c r="I28" s="1">
        <v>0.81882352941176462</v>
      </c>
      <c r="J28" s="1">
        <v>0.84252631578947357</v>
      </c>
      <c r="K28" s="1">
        <f t="shared" si="0"/>
        <v>0.5237764665046859</v>
      </c>
      <c r="L28" s="1">
        <f t="shared" si="1"/>
        <v>0.40680319333564735</v>
      </c>
      <c r="M28" s="1">
        <f t="shared" si="2"/>
        <v>6.9420340159666777E-2</v>
      </c>
      <c r="O28">
        <v>27</v>
      </c>
      <c r="P28" t="s">
        <v>73</v>
      </c>
      <c r="Q28" t="s">
        <v>37</v>
      </c>
      <c r="R28">
        <v>1219</v>
      </c>
      <c r="S28">
        <v>1663</v>
      </c>
      <c r="T28">
        <v>0</v>
      </c>
    </row>
    <row r="29" spans="1:20" x14ac:dyDescent="0.3">
      <c r="H29" t="str">
        <f t="shared" si="3"/>
        <v>08/06-2</v>
      </c>
      <c r="I29" s="1">
        <v>0.81882352941176462</v>
      </c>
      <c r="J29" s="1">
        <v>0.84252631578947357</v>
      </c>
      <c r="K29" s="1">
        <f t="shared" si="0"/>
        <v>0.828125</v>
      </c>
      <c r="L29" s="1">
        <f t="shared" si="1"/>
        <v>0.171875</v>
      </c>
      <c r="M29" s="1">
        <f t="shared" si="2"/>
        <v>0</v>
      </c>
      <c r="O29">
        <v>28</v>
      </c>
      <c r="P29" t="s">
        <v>74</v>
      </c>
      <c r="Q29" t="s">
        <v>34</v>
      </c>
      <c r="R29">
        <v>1292</v>
      </c>
      <c r="S29">
        <v>1591</v>
      </c>
      <c r="T29">
        <v>0</v>
      </c>
    </row>
    <row r="30" spans="1:20" x14ac:dyDescent="0.3">
      <c r="H30" t="str">
        <f t="shared" si="3"/>
        <v>09/06-1</v>
      </c>
      <c r="I30" s="1">
        <v>0.81882352941176462</v>
      </c>
      <c r="J30" s="1">
        <v>0.84252631578947357</v>
      </c>
      <c r="K30" s="1">
        <f t="shared" si="0"/>
        <v>0.57197363857093309</v>
      </c>
      <c r="L30" s="1">
        <f t="shared" si="1"/>
        <v>0.42802636142906697</v>
      </c>
      <c r="M30" s="1">
        <f t="shared" si="2"/>
        <v>0</v>
      </c>
      <c r="O30">
        <v>29</v>
      </c>
      <c r="P30" t="s">
        <v>74</v>
      </c>
      <c r="Q30" t="s">
        <v>37</v>
      </c>
      <c r="R30">
        <v>929</v>
      </c>
      <c r="S30">
        <v>1954</v>
      </c>
      <c r="T30">
        <v>0</v>
      </c>
    </row>
    <row r="31" spans="1:20" x14ac:dyDescent="0.3">
      <c r="H31" t="str">
        <f t="shared" si="3"/>
        <v>09/06-2</v>
      </c>
      <c r="I31" s="1">
        <v>0.81882352941176462</v>
      </c>
      <c r="J31" s="1">
        <v>0.84252631578947357</v>
      </c>
      <c r="K31" s="1">
        <f t="shared" si="0"/>
        <v>0.69049271339347673</v>
      </c>
      <c r="L31" s="1">
        <f t="shared" si="1"/>
        <v>0.30950728660652327</v>
      </c>
      <c r="M31" s="1">
        <f t="shared" si="2"/>
        <v>0</v>
      </c>
      <c r="O31">
        <v>30</v>
      </c>
      <c r="P31" t="s">
        <v>75</v>
      </c>
      <c r="Q31" t="s">
        <v>34</v>
      </c>
      <c r="R31">
        <v>1165</v>
      </c>
      <c r="S31">
        <v>1718</v>
      </c>
      <c r="T31">
        <v>0</v>
      </c>
    </row>
    <row r="32" spans="1:20" x14ac:dyDescent="0.3">
      <c r="H32" t="str">
        <f t="shared" si="3"/>
        <v>10/06-1</v>
      </c>
      <c r="I32" s="1">
        <v>0.81882352941176462</v>
      </c>
      <c r="J32" s="1">
        <v>0.84252631578947357</v>
      </c>
      <c r="K32" s="1">
        <f t="shared" si="0"/>
        <v>0.56597222222222221</v>
      </c>
      <c r="L32" s="1">
        <f t="shared" si="1"/>
        <v>0.43402777777777779</v>
      </c>
      <c r="M32" s="1">
        <f t="shared" si="2"/>
        <v>0</v>
      </c>
      <c r="O32">
        <v>31</v>
      </c>
      <c r="P32" t="s">
        <v>75</v>
      </c>
      <c r="Q32" t="s">
        <v>37</v>
      </c>
      <c r="R32">
        <v>1184</v>
      </c>
      <c r="S32">
        <v>1700</v>
      </c>
      <c r="T32">
        <v>0</v>
      </c>
    </row>
    <row r="33" spans="8:20" x14ac:dyDescent="0.3">
      <c r="H33" t="str">
        <f t="shared" si="3"/>
        <v>10/06-2</v>
      </c>
      <c r="I33" s="1">
        <v>0.81882352941176462</v>
      </c>
      <c r="J33" s="1">
        <v>0.84252631578947357</v>
      </c>
      <c r="K33" s="1">
        <f t="shared" si="0"/>
        <v>0.73636679402570338</v>
      </c>
      <c r="L33" s="1">
        <f t="shared" si="1"/>
        <v>0.26363320597429662</v>
      </c>
      <c r="M33" s="1">
        <f t="shared" si="2"/>
        <v>0</v>
      </c>
      <c r="O33">
        <v>32</v>
      </c>
      <c r="P33" t="s">
        <v>76</v>
      </c>
      <c r="Q33" t="s">
        <v>34</v>
      </c>
      <c r="R33">
        <v>1127</v>
      </c>
      <c r="S33">
        <v>1753</v>
      </c>
      <c r="T33">
        <v>0</v>
      </c>
    </row>
    <row r="34" spans="8:20" x14ac:dyDescent="0.3">
      <c r="H34" t="str">
        <f t="shared" si="3"/>
        <v>11/06-1</v>
      </c>
      <c r="I34" s="1">
        <v>0.81882352941176462</v>
      </c>
      <c r="J34" s="1">
        <v>0.84252631578947357</v>
      </c>
      <c r="K34" s="1">
        <f t="shared" si="0"/>
        <v>0.59375</v>
      </c>
      <c r="L34" s="1">
        <f t="shared" si="1"/>
        <v>0.40625</v>
      </c>
      <c r="M34" s="1">
        <f t="shared" si="2"/>
        <v>0</v>
      </c>
      <c r="O34">
        <v>33</v>
      </c>
      <c r="P34" t="s">
        <v>76</v>
      </c>
      <c r="Q34" t="s">
        <v>37</v>
      </c>
      <c r="R34">
        <v>545</v>
      </c>
      <c r="S34">
        <v>2333</v>
      </c>
      <c r="T34">
        <v>0</v>
      </c>
    </row>
    <row r="35" spans="8:20" x14ac:dyDescent="0.3">
      <c r="H35" t="str">
        <f t="shared" si="3"/>
        <v>11/06-2</v>
      </c>
      <c r="I35" s="1">
        <v>0.81882352941176462</v>
      </c>
      <c r="J35" s="1">
        <v>0.84252631578947357</v>
      </c>
      <c r="K35" s="1">
        <f t="shared" si="0"/>
        <v>0.77770059048280649</v>
      </c>
      <c r="L35" s="1">
        <f t="shared" si="1"/>
        <v>0.22229940951719346</v>
      </c>
      <c r="M35" s="1">
        <f t="shared" si="2"/>
        <v>0</v>
      </c>
      <c r="O35">
        <v>34</v>
      </c>
      <c r="P35" t="s">
        <v>77</v>
      </c>
      <c r="Q35" t="s">
        <v>34</v>
      </c>
      <c r="R35">
        <v>1452</v>
      </c>
      <c r="S35">
        <v>1424</v>
      </c>
      <c r="T35">
        <v>0</v>
      </c>
    </row>
    <row r="36" spans="8:20" x14ac:dyDescent="0.3">
      <c r="H36" t="str">
        <f t="shared" si="3"/>
        <v>12/06-1</v>
      </c>
      <c r="I36" s="1">
        <v>0.81882352941176462</v>
      </c>
      <c r="J36" s="1">
        <v>0.84252631578947357</v>
      </c>
      <c r="K36" s="1">
        <f t="shared" si="0"/>
        <v>0.57291666666666663</v>
      </c>
      <c r="L36" s="1">
        <f t="shared" si="1"/>
        <v>0.42708333333333331</v>
      </c>
      <c r="M36" s="1">
        <f t="shared" si="2"/>
        <v>0</v>
      </c>
      <c r="O36">
        <v>35</v>
      </c>
      <c r="P36" t="s">
        <v>77</v>
      </c>
      <c r="Q36" t="s">
        <v>37</v>
      </c>
      <c r="R36">
        <v>1571</v>
      </c>
      <c r="S36">
        <v>672</v>
      </c>
      <c r="T36">
        <v>634</v>
      </c>
    </row>
    <row r="37" spans="8:20" x14ac:dyDescent="0.3">
      <c r="H37" t="str">
        <f t="shared" si="3"/>
        <v>12/06-2</v>
      </c>
      <c r="I37" s="1">
        <v>0.81882352941176462</v>
      </c>
      <c r="J37" s="1">
        <v>0.84252631578947357</v>
      </c>
      <c r="K37" s="1">
        <f t="shared" si="0"/>
        <v>0.68875780707841772</v>
      </c>
      <c r="L37" s="1">
        <f t="shared" si="1"/>
        <v>0.31124219292158223</v>
      </c>
      <c r="M37" s="1">
        <f t="shared" si="2"/>
        <v>0</v>
      </c>
      <c r="O37">
        <v>36</v>
      </c>
      <c r="P37" t="s">
        <v>78</v>
      </c>
      <c r="Q37" t="s">
        <v>34</v>
      </c>
      <c r="R37">
        <v>1003</v>
      </c>
      <c r="S37">
        <v>1656</v>
      </c>
      <c r="T37">
        <v>220</v>
      </c>
    </row>
    <row r="38" spans="8:20" x14ac:dyDescent="0.3">
      <c r="H38" t="str">
        <f t="shared" si="3"/>
        <v>13/06-1</v>
      </c>
      <c r="I38" s="1">
        <v>0.81882352941176462</v>
      </c>
      <c r="J38" s="1">
        <v>0.84252631578947357</v>
      </c>
      <c r="K38" s="1">
        <f t="shared" si="0"/>
        <v>0.53835473793821587</v>
      </c>
      <c r="L38" s="1">
        <f t="shared" si="1"/>
        <v>0.46164526206178408</v>
      </c>
      <c r="M38" s="1">
        <f t="shared" si="2"/>
        <v>0</v>
      </c>
      <c r="O38">
        <v>37</v>
      </c>
      <c r="P38" t="s">
        <v>78</v>
      </c>
      <c r="Q38" t="s">
        <v>37</v>
      </c>
      <c r="R38">
        <v>674</v>
      </c>
      <c r="S38">
        <v>2207</v>
      </c>
      <c r="T38">
        <v>0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1082</v>
      </c>
      <c r="S39">
        <v>1800</v>
      </c>
      <c r="T39">
        <v>0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773</v>
      </c>
      <c r="S40">
        <v>2108</v>
      </c>
      <c r="T40">
        <v>0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1242</v>
      </c>
      <c r="S41">
        <v>1639</v>
      </c>
      <c r="T41">
        <v>0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672</v>
      </c>
      <c r="S42">
        <v>2209</v>
      </c>
      <c r="T42">
        <v>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1077</v>
      </c>
      <c r="S43">
        <v>1699</v>
      </c>
      <c r="T43">
        <v>102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545</v>
      </c>
      <c r="S44">
        <v>2335</v>
      </c>
      <c r="T44">
        <v>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1198</v>
      </c>
      <c r="S45">
        <v>1682</v>
      </c>
      <c r="T45">
        <v>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595</v>
      </c>
      <c r="S46">
        <v>2286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1238</v>
      </c>
      <c r="S47">
        <v>1642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857</v>
      </c>
      <c r="S48">
        <v>2022</v>
      </c>
      <c r="T48">
        <v>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1204</v>
      </c>
      <c r="S49">
        <v>1671</v>
      </c>
      <c r="T49">
        <v>3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1444</v>
      </c>
      <c r="S50">
        <v>713</v>
      </c>
      <c r="T50">
        <v>720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1063</v>
      </c>
      <c r="S51">
        <v>1614</v>
      </c>
      <c r="T51">
        <v>203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502</v>
      </c>
      <c r="S52">
        <v>2380</v>
      </c>
      <c r="T52">
        <v>0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885</v>
      </c>
      <c r="S53">
        <v>1998</v>
      </c>
      <c r="T53">
        <v>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628</v>
      </c>
      <c r="S54">
        <v>2253</v>
      </c>
      <c r="T54">
        <v>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1101</v>
      </c>
      <c r="S55">
        <v>1780</v>
      </c>
      <c r="T55">
        <v>0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656</v>
      </c>
      <c r="S56">
        <v>2225</v>
      </c>
      <c r="T56">
        <v>0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1202</v>
      </c>
      <c r="S57">
        <v>1677</v>
      </c>
      <c r="T57">
        <v>0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853</v>
      </c>
      <c r="S58">
        <v>2029</v>
      </c>
      <c r="T58">
        <v>0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1043</v>
      </c>
      <c r="S59">
        <v>1838</v>
      </c>
      <c r="T59">
        <v>0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702</v>
      </c>
      <c r="S60">
        <v>2178</v>
      </c>
      <c r="T60">
        <v>0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1299</v>
      </c>
      <c r="S61">
        <v>1582</v>
      </c>
      <c r="T61">
        <v>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298</v>
      </c>
      <c r="S62">
        <v>1601</v>
      </c>
      <c r="T62">
        <v>978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2880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2880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564</v>
      </c>
      <c r="S65">
        <v>1503</v>
      </c>
      <c r="T65">
        <v>811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791</v>
      </c>
      <c r="S66">
        <v>2090</v>
      </c>
      <c r="T66">
        <v>0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1362</v>
      </c>
      <c r="S67">
        <v>1522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614</v>
      </c>
      <c r="S68">
        <v>2267</v>
      </c>
      <c r="T68">
        <v>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1193</v>
      </c>
      <c r="S69">
        <v>1689</v>
      </c>
      <c r="T69">
        <v>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724</v>
      </c>
      <c r="S70">
        <v>2159</v>
      </c>
      <c r="T70">
        <v>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1249</v>
      </c>
      <c r="S71">
        <v>1630</v>
      </c>
      <c r="T71">
        <v>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487</v>
      </c>
      <c r="S72">
        <v>2395</v>
      </c>
      <c r="T72">
        <v>0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1190</v>
      </c>
      <c r="S73">
        <v>1691</v>
      </c>
      <c r="T73">
        <v>0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696</v>
      </c>
      <c r="S74">
        <v>2186</v>
      </c>
      <c r="T74">
        <v>0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1199</v>
      </c>
      <c r="S75">
        <v>1681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995</v>
      </c>
      <c r="S76">
        <v>1888</v>
      </c>
      <c r="T76">
        <v>0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1099</v>
      </c>
      <c r="S77">
        <v>1779</v>
      </c>
      <c r="T77">
        <v>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2575</v>
      </c>
      <c r="S78">
        <v>302</v>
      </c>
      <c r="T78">
        <v>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1271</v>
      </c>
      <c r="S79">
        <v>1611</v>
      </c>
      <c r="T79">
        <v>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835</v>
      </c>
      <c r="S80">
        <v>2047</v>
      </c>
      <c r="T80">
        <v>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1523</v>
      </c>
      <c r="S81">
        <v>1356</v>
      </c>
      <c r="T81">
        <v>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1124</v>
      </c>
      <c r="S82">
        <v>1757</v>
      </c>
      <c r="T82">
        <v>0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1598</v>
      </c>
      <c r="S83">
        <v>1284</v>
      </c>
      <c r="T83">
        <v>0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1147</v>
      </c>
      <c r="S84">
        <v>1733</v>
      </c>
      <c r="T84">
        <v>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1177</v>
      </c>
      <c r="S85">
        <v>1703</v>
      </c>
      <c r="T85">
        <v>0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904</v>
      </c>
      <c r="S86">
        <v>1974</v>
      </c>
      <c r="T86">
        <v>4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1313</v>
      </c>
      <c r="S87">
        <v>1567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565</v>
      </c>
      <c r="S88">
        <v>1259</v>
      </c>
      <c r="T88">
        <v>1052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2880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2880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2880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2880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2880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2880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2880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2880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2880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2880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2880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2880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2880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2880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2880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2880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2880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2880</v>
      </c>
    </row>
    <row r="107" spans="9:20" x14ac:dyDescent="0.3">
      <c r="O107">
        <v>106</v>
      </c>
      <c r="P107" t="s">
        <v>113</v>
      </c>
      <c r="Q107" t="s">
        <v>34</v>
      </c>
      <c r="R107">
        <v>554</v>
      </c>
      <c r="S107">
        <v>1497</v>
      </c>
      <c r="T107">
        <v>826</v>
      </c>
    </row>
    <row r="108" spans="9:20" x14ac:dyDescent="0.3">
      <c r="O108">
        <v>107</v>
      </c>
      <c r="P108" t="s">
        <v>113</v>
      </c>
      <c r="Q108" t="s">
        <v>37</v>
      </c>
      <c r="R108">
        <v>880</v>
      </c>
      <c r="S108">
        <v>2001</v>
      </c>
      <c r="T108">
        <v>0</v>
      </c>
    </row>
    <row r="109" spans="9:20" x14ac:dyDescent="0.3">
      <c r="O109">
        <v>108</v>
      </c>
      <c r="P109" t="s">
        <v>114</v>
      </c>
      <c r="Q109" t="s">
        <v>34</v>
      </c>
      <c r="R109">
        <v>1240</v>
      </c>
      <c r="S109">
        <v>1641</v>
      </c>
      <c r="T109">
        <v>0</v>
      </c>
    </row>
    <row r="110" spans="9:20" x14ac:dyDescent="0.3">
      <c r="O110">
        <v>109</v>
      </c>
      <c r="P110" t="s">
        <v>114</v>
      </c>
      <c r="Q110" t="s">
        <v>37</v>
      </c>
      <c r="R110">
        <v>768</v>
      </c>
      <c r="S110">
        <v>2115</v>
      </c>
      <c r="T110">
        <v>0</v>
      </c>
    </row>
    <row r="111" spans="9:20" x14ac:dyDescent="0.3">
      <c r="O111">
        <v>110</v>
      </c>
      <c r="P111" t="s">
        <v>115</v>
      </c>
      <c r="Q111" t="s">
        <v>34</v>
      </c>
      <c r="R111">
        <v>923</v>
      </c>
      <c r="S111">
        <v>1956</v>
      </c>
      <c r="T111">
        <v>0</v>
      </c>
    </row>
    <row r="112" spans="9:20" x14ac:dyDescent="0.3">
      <c r="O112">
        <v>111</v>
      </c>
      <c r="P112" t="s">
        <v>115</v>
      </c>
      <c r="Q112" t="s">
        <v>37</v>
      </c>
      <c r="R112">
        <v>544</v>
      </c>
      <c r="S112">
        <v>2337</v>
      </c>
      <c r="T112">
        <v>0</v>
      </c>
    </row>
    <row r="113" spans="15:20" x14ac:dyDescent="0.3">
      <c r="O113">
        <v>112</v>
      </c>
      <c r="P113" t="s">
        <v>116</v>
      </c>
      <c r="Q113" t="s">
        <v>34</v>
      </c>
      <c r="R113">
        <v>1145</v>
      </c>
      <c r="S113">
        <v>1732</v>
      </c>
      <c r="T113">
        <v>0</v>
      </c>
    </row>
    <row r="114" spans="15:20" x14ac:dyDescent="0.3">
      <c r="O114">
        <v>113</v>
      </c>
      <c r="P114" t="s">
        <v>116</v>
      </c>
      <c r="Q114" t="s">
        <v>37</v>
      </c>
      <c r="R114">
        <v>324</v>
      </c>
      <c r="S114">
        <v>2556</v>
      </c>
      <c r="T114">
        <v>0</v>
      </c>
    </row>
    <row r="115" spans="15:20" x14ac:dyDescent="0.3">
      <c r="O115">
        <v>114</v>
      </c>
      <c r="P115" t="s">
        <v>117</v>
      </c>
      <c r="Q115" t="s">
        <v>34</v>
      </c>
      <c r="R115">
        <v>715</v>
      </c>
      <c r="S115">
        <v>2165</v>
      </c>
      <c r="T115">
        <v>0</v>
      </c>
    </row>
    <row r="116" spans="15:20" x14ac:dyDescent="0.3">
      <c r="O116">
        <v>115</v>
      </c>
      <c r="P116" t="s">
        <v>117</v>
      </c>
      <c r="Q116" t="s">
        <v>37</v>
      </c>
      <c r="R116">
        <v>725</v>
      </c>
      <c r="S116">
        <v>2154</v>
      </c>
      <c r="T116">
        <v>0</v>
      </c>
    </row>
    <row r="117" spans="15:20" x14ac:dyDescent="0.3">
      <c r="O117">
        <v>116</v>
      </c>
      <c r="P117" t="s">
        <v>118</v>
      </c>
      <c r="Q117" t="s">
        <v>34</v>
      </c>
      <c r="R117">
        <v>1266</v>
      </c>
      <c r="S117">
        <v>1615</v>
      </c>
      <c r="T117">
        <v>0</v>
      </c>
    </row>
    <row r="118" spans="15:20" x14ac:dyDescent="0.3">
      <c r="O118">
        <v>117</v>
      </c>
      <c r="P118" t="s">
        <v>118</v>
      </c>
      <c r="Q118" t="s">
        <v>37</v>
      </c>
      <c r="R118">
        <v>751</v>
      </c>
      <c r="S118">
        <v>1376</v>
      </c>
      <c r="T118">
        <v>754</v>
      </c>
    </row>
    <row r="119" spans="15:20" x14ac:dyDescent="0.3">
      <c r="O119">
        <v>118</v>
      </c>
      <c r="P119" t="s">
        <v>119</v>
      </c>
      <c r="Q119" t="s">
        <v>34</v>
      </c>
      <c r="R119">
        <v>332</v>
      </c>
      <c r="S119">
        <v>0</v>
      </c>
      <c r="T119">
        <v>2287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2880</v>
      </c>
    </row>
    <row r="121" spans="15:20" x14ac:dyDescent="0.3">
      <c r="O121">
        <v>120</v>
      </c>
      <c r="P121" t="s">
        <v>120</v>
      </c>
      <c r="Q121" t="s">
        <v>34</v>
      </c>
      <c r="R121">
        <v>646</v>
      </c>
      <c r="S121">
        <v>1420</v>
      </c>
      <c r="T121">
        <v>812</v>
      </c>
    </row>
    <row r="122" spans="15:20" x14ac:dyDescent="0.3">
      <c r="O122">
        <v>121</v>
      </c>
      <c r="P122" t="s">
        <v>120</v>
      </c>
      <c r="Q122" t="s">
        <v>37</v>
      </c>
      <c r="R122">
        <v>582</v>
      </c>
      <c r="S122">
        <v>2300</v>
      </c>
      <c r="T122">
        <v>0</v>
      </c>
    </row>
    <row r="123" spans="15:20" x14ac:dyDescent="0.3">
      <c r="O123">
        <v>122</v>
      </c>
      <c r="P123" t="s">
        <v>121</v>
      </c>
      <c r="Q123" t="s">
        <v>34</v>
      </c>
      <c r="R123">
        <v>1212</v>
      </c>
      <c r="S123">
        <v>1668</v>
      </c>
      <c r="T123">
        <v>0</v>
      </c>
    </row>
    <row r="124" spans="15:20" x14ac:dyDescent="0.3">
      <c r="O124">
        <v>123</v>
      </c>
      <c r="P124" t="s">
        <v>121</v>
      </c>
      <c r="Q124" t="s">
        <v>37</v>
      </c>
      <c r="R124">
        <v>704</v>
      </c>
      <c r="S124">
        <v>2177</v>
      </c>
      <c r="T124">
        <v>0</v>
      </c>
    </row>
    <row r="125" spans="15:20" x14ac:dyDescent="0.3">
      <c r="O125">
        <v>124</v>
      </c>
      <c r="P125" t="s">
        <v>122</v>
      </c>
      <c r="Q125" t="s">
        <v>34</v>
      </c>
      <c r="R125">
        <v>1319</v>
      </c>
      <c r="S125">
        <v>1561</v>
      </c>
      <c r="T125">
        <v>0</v>
      </c>
    </row>
    <row r="126" spans="15:20" x14ac:dyDescent="0.3">
      <c r="O126">
        <v>125</v>
      </c>
      <c r="P126" t="s">
        <v>122</v>
      </c>
      <c r="Q126" t="s">
        <v>37</v>
      </c>
      <c r="R126">
        <v>366</v>
      </c>
      <c r="S126">
        <v>2515</v>
      </c>
      <c r="T126">
        <v>0</v>
      </c>
    </row>
    <row r="127" spans="15:20" x14ac:dyDescent="0.3">
      <c r="O127">
        <v>126</v>
      </c>
      <c r="P127" t="s">
        <v>123</v>
      </c>
      <c r="Q127" t="s">
        <v>34</v>
      </c>
      <c r="R127">
        <v>1174</v>
      </c>
      <c r="S127">
        <v>1706</v>
      </c>
      <c r="T127">
        <v>0</v>
      </c>
    </row>
    <row r="128" spans="15:20" x14ac:dyDescent="0.3">
      <c r="O128">
        <v>127</v>
      </c>
      <c r="P128" t="s">
        <v>123</v>
      </c>
      <c r="Q128" t="s">
        <v>37</v>
      </c>
      <c r="R128">
        <v>485</v>
      </c>
      <c r="S128">
        <v>2396</v>
      </c>
      <c r="T128">
        <v>0</v>
      </c>
    </row>
    <row r="129" spans="15:20" x14ac:dyDescent="0.3">
      <c r="O129">
        <v>128</v>
      </c>
      <c r="P129" t="s">
        <v>124</v>
      </c>
      <c r="Q129" t="s">
        <v>34</v>
      </c>
      <c r="R129">
        <v>1144</v>
      </c>
      <c r="S129">
        <v>1737</v>
      </c>
      <c r="T129">
        <v>0</v>
      </c>
    </row>
    <row r="130" spans="15:20" x14ac:dyDescent="0.3">
      <c r="O130">
        <v>129</v>
      </c>
      <c r="P130" t="s">
        <v>124</v>
      </c>
      <c r="Q130" t="s">
        <v>37</v>
      </c>
      <c r="R130">
        <v>383</v>
      </c>
      <c r="S130">
        <v>2496</v>
      </c>
      <c r="T130">
        <v>0</v>
      </c>
    </row>
    <row r="131" spans="15:20" x14ac:dyDescent="0.3">
      <c r="O131">
        <v>130</v>
      </c>
      <c r="P131" t="s">
        <v>125</v>
      </c>
      <c r="Q131" t="s">
        <v>34</v>
      </c>
      <c r="R131">
        <v>1204</v>
      </c>
      <c r="S131">
        <v>1677</v>
      </c>
      <c r="T131">
        <v>0</v>
      </c>
    </row>
    <row r="132" spans="15:20" x14ac:dyDescent="0.3">
      <c r="O132">
        <v>131</v>
      </c>
      <c r="P132" t="s">
        <v>125</v>
      </c>
      <c r="Q132" t="s">
        <v>37</v>
      </c>
      <c r="R132">
        <v>855</v>
      </c>
      <c r="S132">
        <v>2024</v>
      </c>
      <c r="T132">
        <v>0</v>
      </c>
    </row>
    <row r="133" spans="15:20" x14ac:dyDescent="0.3">
      <c r="O133">
        <v>132</v>
      </c>
      <c r="P133" t="s">
        <v>126</v>
      </c>
      <c r="Q133" t="s">
        <v>34</v>
      </c>
      <c r="R133">
        <v>1213</v>
      </c>
      <c r="S133">
        <v>1667</v>
      </c>
      <c r="T133">
        <v>0</v>
      </c>
    </row>
    <row r="134" spans="15:20" x14ac:dyDescent="0.3">
      <c r="O134">
        <v>133</v>
      </c>
      <c r="P134" t="s">
        <v>126</v>
      </c>
      <c r="Q134" t="s">
        <v>37</v>
      </c>
      <c r="R134">
        <v>1875</v>
      </c>
      <c r="S134">
        <v>293</v>
      </c>
      <c r="T134">
        <v>708</v>
      </c>
    </row>
    <row r="135" spans="15:20" x14ac:dyDescent="0.3">
      <c r="O135">
        <v>134</v>
      </c>
      <c r="P135" t="s">
        <v>127</v>
      </c>
      <c r="Q135" t="s">
        <v>34</v>
      </c>
      <c r="R135">
        <v>1112</v>
      </c>
      <c r="S135">
        <v>1562</v>
      </c>
      <c r="T135">
        <v>206</v>
      </c>
    </row>
    <row r="136" spans="15:20" x14ac:dyDescent="0.3">
      <c r="O136">
        <v>135</v>
      </c>
      <c r="P136" t="s">
        <v>127</v>
      </c>
      <c r="Q136" t="s">
        <v>37</v>
      </c>
      <c r="R136">
        <v>594</v>
      </c>
      <c r="S136">
        <v>2287</v>
      </c>
      <c r="T136">
        <v>0</v>
      </c>
    </row>
    <row r="137" spans="15:20" x14ac:dyDescent="0.3">
      <c r="O137">
        <v>136</v>
      </c>
      <c r="P137" t="s">
        <v>128</v>
      </c>
      <c r="Q137" t="s">
        <v>34</v>
      </c>
      <c r="R137">
        <v>964</v>
      </c>
      <c r="S137">
        <v>1917</v>
      </c>
      <c r="T137">
        <v>0</v>
      </c>
    </row>
    <row r="138" spans="15:20" x14ac:dyDescent="0.3">
      <c r="O138">
        <v>137</v>
      </c>
      <c r="P138" t="s">
        <v>128</v>
      </c>
      <c r="Q138" t="s">
        <v>37</v>
      </c>
      <c r="R138">
        <v>654</v>
      </c>
      <c r="S138">
        <v>2227</v>
      </c>
      <c r="T138">
        <v>0</v>
      </c>
    </row>
    <row r="139" spans="15:20" x14ac:dyDescent="0.3">
      <c r="O139">
        <v>138</v>
      </c>
      <c r="P139" t="s">
        <v>129</v>
      </c>
      <c r="Q139" t="s">
        <v>34</v>
      </c>
      <c r="R139">
        <v>1263</v>
      </c>
      <c r="S139">
        <v>1620</v>
      </c>
      <c r="T139">
        <v>0</v>
      </c>
    </row>
    <row r="140" spans="15:20" x14ac:dyDescent="0.3">
      <c r="O140">
        <v>139</v>
      </c>
      <c r="P140" t="s">
        <v>129</v>
      </c>
      <c r="Q140" t="s">
        <v>37</v>
      </c>
      <c r="R140">
        <v>940</v>
      </c>
      <c r="S140">
        <v>1943</v>
      </c>
      <c r="T140">
        <v>0</v>
      </c>
    </row>
    <row r="141" spans="15:20" x14ac:dyDescent="0.3">
      <c r="O141">
        <v>140</v>
      </c>
      <c r="P141" t="s">
        <v>130</v>
      </c>
      <c r="Q141" t="s">
        <v>34</v>
      </c>
      <c r="R141">
        <v>1340</v>
      </c>
      <c r="S141">
        <v>1541</v>
      </c>
      <c r="T141">
        <v>0</v>
      </c>
    </row>
    <row r="142" spans="15:20" x14ac:dyDescent="0.3">
      <c r="O142">
        <v>141</v>
      </c>
      <c r="P142" t="s">
        <v>130</v>
      </c>
      <c r="Q142" t="s">
        <v>37</v>
      </c>
      <c r="R142">
        <v>815</v>
      </c>
      <c r="S142">
        <v>2065</v>
      </c>
      <c r="T142">
        <v>0</v>
      </c>
    </row>
    <row r="143" spans="15:20" x14ac:dyDescent="0.3">
      <c r="O143">
        <v>142</v>
      </c>
      <c r="P143" t="s">
        <v>131</v>
      </c>
      <c r="Q143" t="s">
        <v>34</v>
      </c>
      <c r="R143">
        <v>1323</v>
      </c>
      <c r="S143">
        <v>1560</v>
      </c>
      <c r="T143">
        <v>0</v>
      </c>
    </row>
    <row r="144" spans="15:20" x14ac:dyDescent="0.3">
      <c r="O144">
        <v>143</v>
      </c>
      <c r="P144" t="s">
        <v>131</v>
      </c>
      <c r="Q144" t="s">
        <v>37</v>
      </c>
      <c r="R144">
        <v>910</v>
      </c>
      <c r="S144">
        <v>1973</v>
      </c>
      <c r="T144">
        <v>0</v>
      </c>
    </row>
    <row r="145" spans="15:20" x14ac:dyDescent="0.3">
      <c r="O145">
        <v>144</v>
      </c>
      <c r="P145" t="s">
        <v>132</v>
      </c>
      <c r="Q145" t="s">
        <v>34</v>
      </c>
      <c r="R145">
        <v>1028</v>
      </c>
      <c r="S145">
        <v>1851</v>
      </c>
      <c r="T145">
        <v>0</v>
      </c>
    </row>
    <row r="146" spans="15:20" x14ac:dyDescent="0.3">
      <c r="O146">
        <v>145</v>
      </c>
      <c r="P146" t="s">
        <v>132</v>
      </c>
      <c r="Q146" t="s">
        <v>37</v>
      </c>
      <c r="R146">
        <v>301</v>
      </c>
      <c r="S146">
        <v>1607</v>
      </c>
      <c r="T146">
        <v>970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2880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2880</v>
      </c>
    </row>
    <row r="149" spans="15:20" x14ac:dyDescent="0.3">
      <c r="O149">
        <v>148</v>
      </c>
      <c r="P149" t="s">
        <v>134</v>
      </c>
      <c r="Q149" t="s">
        <v>34</v>
      </c>
      <c r="R149">
        <v>484</v>
      </c>
      <c r="S149">
        <v>1582</v>
      </c>
      <c r="T149">
        <v>812</v>
      </c>
    </row>
    <row r="150" spans="15:20" x14ac:dyDescent="0.3">
      <c r="O150">
        <v>149</v>
      </c>
      <c r="P150" t="s">
        <v>134</v>
      </c>
      <c r="Q150" t="s">
        <v>37</v>
      </c>
      <c r="R150">
        <v>703</v>
      </c>
      <c r="S150">
        <v>2178</v>
      </c>
      <c r="T150">
        <v>0</v>
      </c>
    </row>
    <row r="151" spans="15:20" x14ac:dyDescent="0.3">
      <c r="O151">
        <v>150</v>
      </c>
      <c r="P151" t="s">
        <v>135</v>
      </c>
      <c r="Q151" t="s">
        <v>34</v>
      </c>
      <c r="R151">
        <v>926</v>
      </c>
      <c r="S151">
        <v>1955</v>
      </c>
      <c r="T151">
        <v>0</v>
      </c>
    </row>
    <row r="152" spans="15:20" x14ac:dyDescent="0.3">
      <c r="O152">
        <v>151</v>
      </c>
      <c r="P152" t="s">
        <v>135</v>
      </c>
      <c r="Q152" t="s">
        <v>37</v>
      </c>
      <c r="R152">
        <v>405</v>
      </c>
      <c r="S152">
        <v>2474</v>
      </c>
      <c r="T152">
        <v>0</v>
      </c>
    </row>
    <row r="153" spans="15:20" x14ac:dyDescent="0.3">
      <c r="O153">
        <v>152</v>
      </c>
      <c r="P153" t="s">
        <v>136</v>
      </c>
      <c r="Q153" t="s">
        <v>34</v>
      </c>
      <c r="R153">
        <v>1135</v>
      </c>
      <c r="S153">
        <v>1746</v>
      </c>
      <c r="T153">
        <v>0</v>
      </c>
    </row>
    <row r="154" spans="15:20" x14ac:dyDescent="0.3">
      <c r="O154">
        <v>153</v>
      </c>
      <c r="P154" t="s">
        <v>136</v>
      </c>
      <c r="Q154" t="s">
        <v>37</v>
      </c>
      <c r="R154">
        <v>823</v>
      </c>
      <c r="S154">
        <v>2058</v>
      </c>
      <c r="T154">
        <v>0</v>
      </c>
    </row>
    <row r="155" spans="15:20" x14ac:dyDescent="0.3">
      <c r="O155">
        <v>154</v>
      </c>
      <c r="P155" t="s">
        <v>137</v>
      </c>
      <c r="Q155" t="s">
        <v>34</v>
      </c>
      <c r="R155">
        <v>1258</v>
      </c>
      <c r="S155">
        <v>1623</v>
      </c>
      <c r="T155">
        <v>0</v>
      </c>
    </row>
    <row r="156" spans="15:20" x14ac:dyDescent="0.3">
      <c r="O156">
        <v>155</v>
      </c>
      <c r="P156" t="s">
        <v>137</v>
      </c>
      <c r="Q156" t="s">
        <v>37</v>
      </c>
      <c r="R156">
        <v>878</v>
      </c>
      <c r="S156">
        <v>2005</v>
      </c>
      <c r="T156">
        <v>0</v>
      </c>
    </row>
    <row r="157" spans="15:20" x14ac:dyDescent="0.3">
      <c r="O157">
        <v>156</v>
      </c>
      <c r="P157" t="s">
        <v>138</v>
      </c>
      <c r="Q157" t="s">
        <v>34</v>
      </c>
      <c r="R157">
        <v>1225</v>
      </c>
      <c r="S157">
        <v>1656</v>
      </c>
      <c r="T157">
        <v>0</v>
      </c>
    </row>
    <row r="158" spans="15:20" x14ac:dyDescent="0.3">
      <c r="O158">
        <v>157</v>
      </c>
      <c r="P158" t="s">
        <v>138</v>
      </c>
      <c r="Q158" t="s">
        <v>37</v>
      </c>
      <c r="R158">
        <v>657</v>
      </c>
      <c r="S158">
        <v>2225</v>
      </c>
      <c r="T158">
        <v>0</v>
      </c>
    </row>
    <row r="159" spans="15:20" x14ac:dyDescent="0.3">
      <c r="O159">
        <v>158</v>
      </c>
      <c r="P159" t="s">
        <v>139</v>
      </c>
      <c r="Q159" t="s">
        <v>34</v>
      </c>
      <c r="R159">
        <v>1223</v>
      </c>
      <c r="S159">
        <v>1658</v>
      </c>
      <c r="T159">
        <v>0</v>
      </c>
    </row>
    <row r="160" spans="15:20" x14ac:dyDescent="0.3">
      <c r="O160">
        <v>159</v>
      </c>
      <c r="P160" t="s">
        <v>139</v>
      </c>
      <c r="Q160" t="s">
        <v>37</v>
      </c>
      <c r="R160">
        <v>1113</v>
      </c>
      <c r="S160">
        <v>1767</v>
      </c>
      <c r="T160">
        <v>0</v>
      </c>
    </row>
    <row r="161" spans="15:20" x14ac:dyDescent="0.3">
      <c r="O161">
        <v>160</v>
      </c>
      <c r="P161" t="s">
        <v>140</v>
      </c>
      <c r="Q161" t="s">
        <v>34</v>
      </c>
      <c r="R161">
        <v>1171</v>
      </c>
      <c r="S161">
        <v>1693</v>
      </c>
      <c r="T161">
        <v>14</v>
      </c>
    </row>
    <row r="162" spans="15:20" x14ac:dyDescent="0.3">
      <c r="O162">
        <v>161</v>
      </c>
      <c r="P162" t="s">
        <v>140</v>
      </c>
      <c r="Q162" t="s">
        <v>37</v>
      </c>
      <c r="R162">
        <v>1354</v>
      </c>
      <c r="S162">
        <v>84</v>
      </c>
      <c r="T162">
        <v>1440</v>
      </c>
    </row>
    <row r="163" spans="15:20" x14ac:dyDescent="0.3">
      <c r="O163">
        <v>162</v>
      </c>
      <c r="P163" t="s">
        <v>141</v>
      </c>
      <c r="Q163" t="s">
        <v>34</v>
      </c>
      <c r="R163">
        <v>1060</v>
      </c>
      <c r="S163">
        <v>1416</v>
      </c>
      <c r="T163">
        <v>404</v>
      </c>
    </row>
    <row r="164" spans="15:20" x14ac:dyDescent="0.3">
      <c r="O164">
        <v>163</v>
      </c>
      <c r="P164" t="s">
        <v>141</v>
      </c>
      <c r="Q164" t="s">
        <v>37</v>
      </c>
      <c r="R164">
        <v>550</v>
      </c>
      <c r="S164">
        <v>2330</v>
      </c>
      <c r="T164">
        <v>0</v>
      </c>
    </row>
    <row r="165" spans="15:20" x14ac:dyDescent="0.3">
      <c r="O165">
        <v>164</v>
      </c>
      <c r="P165" t="s">
        <v>142</v>
      </c>
      <c r="Q165" t="s">
        <v>34</v>
      </c>
      <c r="R165">
        <v>1140</v>
      </c>
      <c r="S165">
        <v>1741</v>
      </c>
      <c r="T165">
        <v>0</v>
      </c>
    </row>
    <row r="166" spans="15:20" x14ac:dyDescent="0.3">
      <c r="O166">
        <v>165</v>
      </c>
      <c r="P166" t="s">
        <v>142</v>
      </c>
      <c r="Q166" t="s">
        <v>37</v>
      </c>
      <c r="R166">
        <v>688</v>
      </c>
      <c r="S166">
        <v>2192</v>
      </c>
      <c r="T166">
        <v>0</v>
      </c>
    </row>
    <row r="167" spans="15:20" x14ac:dyDescent="0.3">
      <c r="O167">
        <v>166</v>
      </c>
      <c r="P167" t="s">
        <v>143</v>
      </c>
      <c r="Q167" t="s">
        <v>34</v>
      </c>
      <c r="R167">
        <v>1126</v>
      </c>
      <c r="S167">
        <v>1753</v>
      </c>
      <c r="T167">
        <v>0</v>
      </c>
    </row>
    <row r="168" spans="15:20" x14ac:dyDescent="0.3">
      <c r="O168">
        <v>167</v>
      </c>
      <c r="P168" t="s">
        <v>143</v>
      </c>
      <c r="Q168" t="s">
        <v>37</v>
      </c>
      <c r="R168">
        <v>448</v>
      </c>
      <c r="S168">
        <v>2430</v>
      </c>
      <c r="T168">
        <v>1</v>
      </c>
    </row>
    <row r="169" spans="15:20" x14ac:dyDescent="0.3">
      <c r="O169">
        <v>168</v>
      </c>
      <c r="P169" t="s">
        <v>144</v>
      </c>
      <c r="Q169" t="s">
        <v>34</v>
      </c>
      <c r="R169">
        <v>1046</v>
      </c>
      <c r="S169">
        <v>1835</v>
      </c>
      <c r="T169">
        <v>0</v>
      </c>
    </row>
    <row r="170" spans="15:20" x14ac:dyDescent="0.3">
      <c r="O170">
        <v>169</v>
      </c>
      <c r="P170" t="s">
        <v>144</v>
      </c>
      <c r="Q170" t="s">
        <v>37</v>
      </c>
      <c r="R170">
        <v>485</v>
      </c>
      <c r="S170">
        <v>2396</v>
      </c>
      <c r="T170">
        <v>0</v>
      </c>
    </row>
    <row r="171" spans="15:20" x14ac:dyDescent="0.3">
      <c r="O171">
        <v>170</v>
      </c>
      <c r="P171" t="s">
        <v>145</v>
      </c>
      <c r="Q171" t="s">
        <v>34</v>
      </c>
      <c r="R171">
        <v>1004</v>
      </c>
      <c r="S171">
        <v>1877</v>
      </c>
      <c r="T171">
        <v>0</v>
      </c>
    </row>
    <row r="172" spans="15:20" x14ac:dyDescent="0.3">
      <c r="O172">
        <v>171</v>
      </c>
      <c r="P172" t="s">
        <v>145</v>
      </c>
      <c r="Q172" t="s">
        <v>37</v>
      </c>
      <c r="R172">
        <v>524</v>
      </c>
      <c r="S172">
        <v>2355</v>
      </c>
      <c r="T172">
        <v>0</v>
      </c>
    </row>
    <row r="173" spans="15:20" x14ac:dyDescent="0.3">
      <c r="O173">
        <v>172</v>
      </c>
      <c r="P173" t="s">
        <v>146</v>
      </c>
      <c r="Q173" t="s">
        <v>34</v>
      </c>
      <c r="R173">
        <v>1056</v>
      </c>
      <c r="S173">
        <v>1824</v>
      </c>
      <c r="T173">
        <v>0</v>
      </c>
    </row>
    <row r="174" spans="15:20" x14ac:dyDescent="0.3">
      <c r="O174">
        <v>173</v>
      </c>
      <c r="P174" t="s">
        <v>146</v>
      </c>
      <c r="Q174" t="s">
        <v>37</v>
      </c>
      <c r="R174">
        <v>825</v>
      </c>
      <c r="S174">
        <v>2055</v>
      </c>
      <c r="T174">
        <v>0</v>
      </c>
    </row>
    <row r="175" spans="15:20" x14ac:dyDescent="0.3">
      <c r="O175">
        <v>174</v>
      </c>
      <c r="P175" t="s">
        <v>147</v>
      </c>
      <c r="Q175" t="s">
        <v>34</v>
      </c>
      <c r="R175">
        <v>1245</v>
      </c>
      <c r="S175">
        <v>1634</v>
      </c>
      <c r="T175">
        <v>0</v>
      </c>
    </row>
    <row r="176" spans="15:20" x14ac:dyDescent="0.3">
      <c r="O176">
        <v>175</v>
      </c>
      <c r="P176" t="s">
        <v>147</v>
      </c>
      <c r="Q176" t="s">
        <v>37</v>
      </c>
      <c r="R176">
        <v>2633</v>
      </c>
      <c r="S176">
        <v>243</v>
      </c>
      <c r="T176">
        <v>0</v>
      </c>
    </row>
    <row r="177" spans="15:20" x14ac:dyDescent="0.3">
      <c r="O177">
        <v>176</v>
      </c>
      <c r="P177" t="s">
        <v>148</v>
      </c>
      <c r="Q177" t="s">
        <v>34</v>
      </c>
      <c r="R177">
        <v>1254</v>
      </c>
      <c r="S177">
        <v>1627</v>
      </c>
      <c r="T177">
        <v>0</v>
      </c>
    </row>
    <row r="178" spans="15:20" x14ac:dyDescent="0.3">
      <c r="O178">
        <v>177</v>
      </c>
      <c r="P178" t="s">
        <v>148</v>
      </c>
      <c r="Q178" t="s">
        <v>37</v>
      </c>
      <c r="R178">
        <v>417</v>
      </c>
      <c r="S178">
        <v>2465</v>
      </c>
      <c r="T178">
        <v>0</v>
      </c>
    </row>
    <row r="179" spans="15:20" x14ac:dyDescent="0.3">
      <c r="O179">
        <v>178</v>
      </c>
      <c r="P179" t="s">
        <v>149</v>
      </c>
      <c r="Q179" t="s">
        <v>34</v>
      </c>
      <c r="R179">
        <v>1013</v>
      </c>
      <c r="S179">
        <v>1866</v>
      </c>
      <c r="T179">
        <v>0</v>
      </c>
    </row>
    <row r="180" spans="15:20" x14ac:dyDescent="0.3">
      <c r="O180">
        <v>179</v>
      </c>
      <c r="P180" t="s">
        <v>149</v>
      </c>
      <c r="Q180" t="s">
        <v>37</v>
      </c>
      <c r="R180">
        <v>657</v>
      </c>
      <c r="S180">
        <v>2224</v>
      </c>
      <c r="T180">
        <v>0</v>
      </c>
    </row>
    <row r="181" spans="15:20" x14ac:dyDescent="0.3">
      <c r="O181">
        <v>180</v>
      </c>
      <c r="P181" t="s">
        <v>150</v>
      </c>
      <c r="Q181" t="s">
        <v>34</v>
      </c>
      <c r="R181">
        <v>1261</v>
      </c>
      <c r="S181">
        <v>1622</v>
      </c>
      <c r="T181">
        <v>0</v>
      </c>
    </row>
    <row r="182" spans="15:20" x14ac:dyDescent="0.3">
      <c r="O182">
        <v>181</v>
      </c>
      <c r="P182" t="s">
        <v>150</v>
      </c>
      <c r="Q182" t="s">
        <v>37</v>
      </c>
      <c r="R182">
        <v>579</v>
      </c>
      <c r="S182">
        <v>2301</v>
      </c>
      <c r="T182">
        <v>0</v>
      </c>
    </row>
    <row r="183" spans="15:20" x14ac:dyDescent="0.3">
      <c r="O183">
        <v>182</v>
      </c>
      <c r="P183" t="s">
        <v>151</v>
      </c>
      <c r="Q183" t="s">
        <v>34</v>
      </c>
      <c r="R183">
        <v>1214</v>
      </c>
      <c r="S183">
        <v>1670</v>
      </c>
      <c r="T183">
        <v>0</v>
      </c>
    </row>
    <row r="184" spans="15:20" x14ac:dyDescent="0.3">
      <c r="O184">
        <v>183</v>
      </c>
      <c r="P184" t="s">
        <v>151</v>
      </c>
      <c r="Q184" t="s">
        <v>37</v>
      </c>
      <c r="R184">
        <v>713</v>
      </c>
      <c r="S184">
        <v>2169</v>
      </c>
      <c r="T184">
        <v>0</v>
      </c>
    </row>
    <row r="185" spans="15:20" x14ac:dyDescent="0.3">
      <c r="O185">
        <v>184</v>
      </c>
      <c r="P185" t="s">
        <v>152</v>
      </c>
      <c r="Q185" t="s">
        <v>34</v>
      </c>
      <c r="R185">
        <v>1293</v>
      </c>
      <c r="S185">
        <v>1588</v>
      </c>
      <c r="T185">
        <v>0</v>
      </c>
    </row>
    <row r="186" spans="15:20" x14ac:dyDescent="0.3">
      <c r="O186">
        <v>185</v>
      </c>
      <c r="P186" t="s">
        <v>152</v>
      </c>
      <c r="Q186" t="s">
        <v>37</v>
      </c>
      <c r="R186">
        <v>980</v>
      </c>
      <c r="S186">
        <v>1905</v>
      </c>
      <c r="T186">
        <v>0</v>
      </c>
    </row>
    <row r="187" spans="15:20" x14ac:dyDescent="0.3">
      <c r="O187">
        <v>186</v>
      </c>
      <c r="P187" t="s">
        <v>153</v>
      </c>
      <c r="Q187" t="s">
        <v>34</v>
      </c>
      <c r="R187">
        <v>1176</v>
      </c>
      <c r="S187">
        <v>1703</v>
      </c>
      <c r="T187">
        <v>1</v>
      </c>
    </row>
    <row r="188" spans="15:20" x14ac:dyDescent="0.3">
      <c r="O188">
        <v>187</v>
      </c>
      <c r="P188" t="s">
        <v>153</v>
      </c>
      <c r="Q188" t="s">
        <v>37</v>
      </c>
      <c r="R188">
        <v>740</v>
      </c>
      <c r="S188">
        <v>2140</v>
      </c>
      <c r="T188">
        <v>0</v>
      </c>
    </row>
    <row r="189" spans="15:20" x14ac:dyDescent="0.3">
      <c r="O189">
        <v>188</v>
      </c>
      <c r="P189" t="s">
        <v>154</v>
      </c>
      <c r="Q189" t="s">
        <v>34</v>
      </c>
      <c r="R189">
        <v>1426</v>
      </c>
      <c r="S189">
        <v>1413</v>
      </c>
      <c r="T189">
        <v>41</v>
      </c>
    </row>
    <row r="190" spans="15:20" x14ac:dyDescent="0.3">
      <c r="O190">
        <v>189</v>
      </c>
      <c r="P190" t="s">
        <v>154</v>
      </c>
      <c r="Q190" t="s">
        <v>37</v>
      </c>
      <c r="R190">
        <v>0</v>
      </c>
      <c r="S190">
        <v>85</v>
      </c>
      <c r="T190">
        <v>2793</v>
      </c>
    </row>
    <row r="191" spans="15:20" x14ac:dyDescent="0.3">
      <c r="O191">
        <v>190</v>
      </c>
      <c r="P191" t="s">
        <v>155</v>
      </c>
      <c r="Q191" t="s">
        <v>34</v>
      </c>
      <c r="R191">
        <v>628</v>
      </c>
      <c r="S191">
        <v>1452</v>
      </c>
      <c r="T191">
        <v>800</v>
      </c>
    </row>
    <row r="192" spans="15:20" x14ac:dyDescent="0.3">
      <c r="O192">
        <v>191</v>
      </c>
      <c r="P192" t="s">
        <v>155</v>
      </c>
      <c r="Q192" t="s">
        <v>37</v>
      </c>
      <c r="R192">
        <v>633</v>
      </c>
      <c r="S192">
        <v>2251</v>
      </c>
      <c r="T192">
        <v>0</v>
      </c>
    </row>
    <row r="193" spans="15:20" x14ac:dyDescent="0.3">
      <c r="O193">
        <v>192</v>
      </c>
      <c r="P193" t="s">
        <v>156</v>
      </c>
      <c r="Q193" t="s">
        <v>34</v>
      </c>
      <c r="R193">
        <v>1378</v>
      </c>
      <c r="S193">
        <v>1507</v>
      </c>
      <c r="T193">
        <v>0</v>
      </c>
    </row>
    <row r="194" spans="15:20" x14ac:dyDescent="0.3">
      <c r="O194">
        <v>193</v>
      </c>
      <c r="P194" t="s">
        <v>156</v>
      </c>
      <c r="Q194" t="s">
        <v>37</v>
      </c>
      <c r="R194">
        <v>866</v>
      </c>
      <c r="S194">
        <v>2017</v>
      </c>
      <c r="T194">
        <v>0</v>
      </c>
    </row>
    <row r="195" spans="15:20" x14ac:dyDescent="0.3">
      <c r="O195">
        <v>194</v>
      </c>
      <c r="P195" t="s">
        <v>157</v>
      </c>
      <c r="Q195" t="s">
        <v>34</v>
      </c>
      <c r="R195">
        <v>1172</v>
      </c>
      <c r="S195">
        <v>1708</v>
      </c>
      <c r="T195">
        <v>0</v>
      </c>
    </row>
    <row r="196" spans="15:20" x14ac:dyDescent="0.3">
      <c r="O196">
        <v>195</v>
      </c>
      <c r="P196" t="s">
        <v>157</v>
      </c>
      <c r="Q196" t="s">
        <v>37</v>
      </c>
      <c r="R196">
        <v>782</v>
      </c>
      <c r="S196">
        <v>2102</v>
      </c>
      <c r="T196">
        <v>0</v>
      </c>
    </row>
    <row r="197" spans="15:20" x14ac:dyDescent="0.3">
      <c r="O197">
        <v>196</v>
      </c>
      <c r="P197" t="s">
        <v>158</v>
      </c>
      <c r="Q197" t="s">
        <v>34</v>
      </c>
      <c r="R197">
        <v>1194</v>
      </c>
      <c r="S197">
        <v>1689</v>
      </c>
      <c r="T197">
        <v>0</v>
      </c>
    </row>
    <row r="198" spans="15:20" x14ac:dyDescent="0.3">
      <c r="O198">
        <v>197</v>
      </c>
      <c r="P198" t="s">
        <v>158</v>
      </c>
      <c r="Q198" t="s">
        <v>37</v>
      </c>
      <c r="R198">
        <v>777</v>
      </c>
      <c r="S198">
        <v>2106</v>
      </c>
      <c r="T198">
        <v>0</v>
      </c>
    </row>
    <row r="199" spans="15:20" x14ac:dyDescent="0.3">
      <c r="O199">
        <v>198</v>
      </c>
      <c r="P199" t="s">
        <v>159</v>
      </c>
      <c r="Q199" t="s">
        <v>34</v>
      </c>
      <c r="R199">
        <v>907</v>
      </c>
      <c r="S199">
        <v>1973</v>
      </c>
      <c r="T199">
        <v>0</v>
      </c>
    </row>
    <row r="200" spans="15:20" x14ac:dyDescent="0.3">
      <c r="O200">
        <v>199</v>
      </c>
      <c r="P200" t="s">
        <v>159</v>
      </c>
      <c r="Q200" t="s">
        <v>37</v>
      </c>
      <c r="R200">
        <v>569</v>
      </c>
      <c r="S200">
        <v>2236</v>
      </c>
      <c r="T200">
        <v>75</v>
      </c>
    </row>
    <row r="201" spans="15:20" x14ac:dyDescent="0.3">
      <c r="O201">
        <v>200</v>
      </c>
      <c r="P201" t="s">
        <v>160</v>
      </c>
      <c r="Q201" t="s">
        <v>34</v>
      </c>
      <c r="R201">
        <v>1087</v>
      </c>
      <c r="S201">
        <v>1556</v>
      </c>
      <c r="T201">
        <v>236</v>
      </c>
    </row>
    <row r="202" spans="15:20" x14ac:dyDescent="0.3">
      <c r="O202">
        <v>201</v>
      </c>
      <c r="P202" t="s">
        <v>160</v>
      </c>
      <c r="Q202" t="s">
        <v>37</v>
      </c>
      <c r="R202">
        <v>975</v>
      </c>
      <c r="S202">
        <v>1901</v>
      </c>
      <c r="T202">
        <v>0</v>
      </c>
    </row>
    <row r="203" spans="15:20" x14ac:dyDescent="0.3">
      <c r="O203">
        <v>202</v>
      </c>
      <c r="P203" t="s">
        <v>161</v>
      </c>
      <c r="Q203" t="s">
        <v>34</v>
      </c>
      <c r="R203">
        <v>1213</v>
      </c>
      <c r="S203">
        <v>1665</v>
      </c>
      <c r="T203">
        <v>0</v>
      </c>
    </row>
    <row r="204" spans="15:20" x14ac:dyDescent="0.3">
      <c r="O204">
        <v>203</v>
      </c>
      <c r="P204" t="s">
        <v>161</v>
      </c>
      <c r="Q204" t="s">
        <v>37</v>
      </c>
      <c r="R204">
        <v>2233</v>
      </c>
      <c r="S204">
        <v>94</v>
      </c>
      <c r="T204">
        <v>548</v>
      </c>
    </row>
    <row r="205" spans="15:20" x14ac:dyDescent="0.3">
      <c r="O205">
        <v>204</v>
      </c>
      <c r="P205" t="s">
        <v>162</v>
      </c>
      <c r="Q205" t="s">
        <v>34</v>
      </c>
      <c r="R205">
        <v>1210</v>
      </c>
      <c r="S205">
        <v>1471</v>
      </c>
      <c r="T205">
        <v>201</v>
      </c>
    </row>
    <row r="206" spans="15:20" x14ac:dyDescent="0.3">
      <c r="O206">
        <v>205</v>
      </c>
      <c r="P206" t="s">
        <v>162</v>
      </c>
      <c r="Q206" t="s">
        <v>37</v>
      </c>
      <c r="R206">
        <v>910</v>
      </c>
      <c r="S206">
        <v>1973</v>
      </c>
      <c r="T206">
        <v>0</v>
      </c>
    </row>
    <row r="207" spans="15:20" x14ac:dyDescent="0.3">
      <c r="O207">
        <v>206</v>
      </c>
      <c r="P207" t="s">
        <v>163</v>
      </c>
      <c r="Q207" t="s">
        <v>34</v>
      </c>
      <c r="R207">
        <v>1283</v>
      </c>
      <c r="S207">
        <v>1603</v>
      </c>
      <c r="T207">
        <v>0</v>
      </c>
    </row>
    <row r="208" spans="15:20" x14ac:dyDescent="0.3">
      <c r="O208">
        <v>207</v>
      </c>
      <c r="P208" t="s">
        <v>163</v>
      </c>
      <c r="Q208" t="s">
        <v>37</v>
      </c>
      <c r="R208">
        <v>825</v>
      </c>
      <c r="S208">
        <v>2060</v>
      </c>
      <c r="T208">
        <v>0</v>
      </c>
    </row>
    <row r="209" spans="15:20" x14ac:dyDescent="0.3">
      <c r="O209">
        <v>208</v>
      </c>
      <c r="P209" t="s">
        <v>164</v>
      </c>
      <c r="Q209" t="s">
        <v>34</v>
      </c>
      <c r="R209">
        <v>1075</v>
      </c>
      <c r="S209">
        <v>1805</v>
      </c>
      <c r="T209">
        <v>0</v>
      </c>
    </row>
    <row r="210" spans="15:20" x14ac:dyDescent="0.3">
      <c r="O210">
        <v>209</v>
      </c>
      <c r="P210" t="s">
        <v>164</v>
      </c>
      <c r="Q210" t="s">
        <v>37</v>
      </c>
      <c r="R210">
        <v>822</v>
      </c>
      <c r="S210">
        <v>2060</v>
      </c>
      <c r="T210">
        <v>0</v>
      </c>
    </row>
    <row r="211" spans="15:20" x14ac:dyDescent="0.3">
      <c r="O211">
        <v>210</v>
      </c>
      <c r="P211" t="s">
        <v>165</v>
      </c>
      <c r="Q211" t="s">
        <v>34</v>
      </c>
      <c r="R211">
        <v>1366</v>
      </c>
      <c r="S211">
        <v>1511</v>
      </c>
      <c r="T211">
        <v>1</v>
      </c>
    </row>
    <row r="212" spans="15:20" x14ac:dyDescent="0.3">
      <c r="O212">
        <v>211</v>
      </c>
      <c r="P212" t="s">
        <v>165</v>
      </c>
      <c r="Q212" t="s">
        <v>37</v>
      </c>
      <c r="R212">
        <v>613</v>
      </c>
      <c r="S212">
        <v>2267</v>
      </c>
      <c r="T212">
        <v>0</v>
      </c>
    </row>
    <row r="213" spans="15:20" x14ac:dyDescent="0.3">
      <c r="O213">
        <v>212</v>
      </c>
      <c r="P213" t="s">
        <v>166</v>
      </c>
      <c r="Q213" t="s">
        <v>34</v>
      </c>
      <c r="R213">
        <v>918</v>
      </c>
      <c r="S213">
        <v>1960</v>
      </c>
      <c r="T213">
        <v>0</v>
      </c>
    </row>
    <row r="214" spans="15:20" x14ac:dyDescent="0.3">
      <c r="O214">
        <v>213</v>
      </c>
      <c r="P214" t="s">
        <v>166</v>
      </c>
      <c r="Q214" t="s">
        <v>37</v>
      </c>
      <c r="R214">
        <v>889</v>
      </c>
      <c r="S214">
        <v>1990</v>
      </c>
      <c r="T214">
        <v>0</v>
      </c>
    </row>
    <row r="215" spans="15:20" x14ac:dyDescent="0.3">
      <c r="O215">
        <v>214</v>
      </c>
      <c r="P215" t="s">
        <v>167</v>
      </c>
      <c r="Q215" t="s">
        <v>34</v>
      </c>
      <c r="R215">
        <v>1100</v>
      </c>
      <c r="S215">
        <v>1781</v>
      </c>
      <c r="T215">
        <v>0</v>
      </c>
    </row>
    <row r="216" spans="15:20" x14ac:dyDescent="0.3">
      <c r="O216">
        <v>215</v>
      </c>
      <c r="P216" t="s">
        <v>167</v>
      </c>
      <c r="Q216" t="s">
        <v>37</v>
      </c>
      <c r="R216">
        <v>1052</v>
      </c>
      <c r="S216">
        <v>1829</v>
      </c>
      <c r="T216">
        <v>0</v>
      </c>
    </row>
    <row r="217" spans="15:20" x14ac:dyDescent="0.3">
      <c r="O217">
        <v>216</v>
      </c>
      <c r="P217" t="s">
        <v>168</v>
      </c>
      <c r="Q217" t="s">
        <v>34</v>
      </c>
      <c r="R217">
        <v>1440</v>
      </c>
      <c r="S217">
        <v>1430</v>
      </c>
      <c r="T217">
        <v>11</v>
      </c>
    </row>
    <row r="218" spans="15:20" x14ac:dyDescent="0.3">
      <c r="O218">
        <v>217</v>
      </c>
      <c r="P218" t="s">
        <v>168</v>
      </c>
      <c r="Q218" t="s">
        <v>37</v>
      </c>
      <c r="R218">
        <v>693</v>
      </c>
      <c r="S218">
        <v>27</v>
      </c>
      <c r="T218">
        <v>2158</v>
      </c>
    </row>
    <row r="219" spans="15:20" x14ac:dyDescent="0.3">
      <c r="O219">
        <v>218</v>
      </c>
      <c r="P219" t="s">
        <v>169</v>
      </c>
      <c r="Q219" t="s">
        <v>34</v>
      </c>
      <c r="R219">
        <v>766</v>
      </c>
      <c r="S219">
        <v>1506</v>
      </c>
      <c r="T219">
        <v>610</v>
      </c>
    </row>
    <row r="220" spans="15:20" x14ac:dyDescent="0.3">
      <c r="O220">
        <v>219</v>
      </c>
      <c r="P220" t="s">
        <v>169</v>
      </c>
      <c r="Q220" t="s">
        <v>37</v>
      </c>
      <c r="R220">
        <v>1283</v>
      </c>
      <c r="S220">
        <v>1590</v>
      </c>
      <c r="T220">
        <v>10</v>
      </c>
    </row>
    <row r="221" spans="15:20" x14ac:dyDescent="0.3">
      <c r="O221">
        <v>220</v>
      </c>
      <c r="P221" t="s">
        <v>170</v>
      </c>
      <c r="Q221" t="s">
        <v>34</v>
      </c>
      <c r="R221">
        <v>1151</v>
      </c>
      <c r="S221">
        <v>1730</v>
      </c>
      <c r="T221">
        <v>0</v>
      </c>
    </row>
    <row r="222" spans="15:20" x14ac:dyDescent="0.3">
      <c r="O222">
        <v>221</v>
      </c>
      <c r="P222" t="s">
        <v>170</v>
      </c>
      <c r="Q222" t="s">
        <v>37</v>
      </c>
      <c r="R222">
        <v>844</v>
      </c>
      <c r="S222">
        <v>2036</v>
      </c>
      <c r="T222">
        <v>0</v>
      </c>
    </row>
    <row r="223" spans="15:20" x14ac:dyDescent="0.3">
      <c r="O223">
        <v>222</v>
      </c>
      <c r="P223" t="s">
        <v>171</v>
      </c>
      <c r="Q223" t="s">
        <v>34</v>
      </c>
      <c r="R223">
        <v>1325</v>
      </c>
      <c r="S223">
        <v>1557</v>
      </c>
      <c r="T223">
        <v>0</v>
      </c>
    </row>
    <row r="224" spans="15:20" x14ac:dyDescent="0.3">
      <c r="O224">
        <v>223</v>
      </c>
      <c r="P224" t="s">
        <v>171</v>
      </c>
      <c r="Q224" t="s">
        <v>37</v>
      </c>
      <c r="R224">
        <v>777</v>
      </c>
      <c r="S224">
        <v>2104</v>
      </c>
      <c r="T224">
        <v>0</v>
      </c>
    </row>
    <row r="225" spans="15:20" x14ac:dyDescent="0.3">
      <c r="O225">
        <v>224</v>
      </c>
      <c r="P225" t="s">
        <v>172</v>
      </c>
      <c r="Q225" t="s">
        <v>34</v>
      </c>
      <c r="R225">
        <v>1086</v>
      </c>
      <c r="S225">
        <v>1794</v>
      </c>
      <c r="T225">
        <v>0</v>
      </c>
    </row>
    <row r="226" spans="15:20" x14ac:dyDescent="0.3">
      <c r="O226">
        <v>225</v>
      </c>
      <c r="P226" t="s">
        <v>172</v>
      </c>
      <c r="Q226" t="s">
        <v>37</v>
      </c>
      <c r="R226">
        <v>728</v>
      </c>
      <c r="S226">
        <v>2155</v>
      </c>
      <c r="T226">
        <v>0</v>
      </c>
    </row>
    <row r="227" spans="15:20" x14ac:dyDescent="0.3">
      <c r="O227">
        <v>226</v>
      </c>
      <c r="P227" t="s">
        <v>173</v>
      </c>
      <c r="Q227" t="s">
        <v>34</v>
      </c>
      <c r="R227">
        <v>906</v>
      </c>
      <c r="S227">
        <v>1977</v>
      </c>
      <c r="T227">
        <v>0</v>
      </c>
    </row>
    <row r="228" spans="15:20" x14ac:dyDescent="0.3">
      <c r="O228">
        <v>227</v>
      </c>
      <c r="P228" t="s">
        <v>173</v>
      </c>
      <c r="Q228" t="s">
        <v>37</v>
      </c>
      <c r="R228">
        <v>820</v>
      </c>
      <c r="S228">
        <v>2061</v>
      </c>
      <c r="T228">
        <v>0</v>
      </c>
    </row>
    <row r="229" spans="15:20" x14ac:dyDescent="0.3">
      <c r="O229">
        <v>228</v>
      </c>
      <c r="P229" t="s">
        <v>174</v>
      </c>
      <c r="Q229" t="s">
        <v>34</v>
      </c>
      <c r="R229">
        <v>1314</v>
      </c>
      <c r="S229">
        <v>1566</v>
      </c>
      <c r="T229">
        <v>0</v>
      </c>
    </row>
    <row r="230" spans="15:20" x14ac:dyDescent="0.3">
      <c r="O230">
        <v>229</v>
      </c>
      <c r="P230" t="s">
        <v>174</v>
      </c>
      <c r="Q230" t="s">
        <v>37</v>
      </c>
      <c r="R230">
        <v>501</v>
      </c>
      <c r="S230">
        <v>1382</v>
      </c>
      <c r="T230">
        <v>998</v>
      </c>
    </row>
    <row r="231" spans="15:20" x14ac:dyDescent="0.3">
      <c r="O231">
        <v>230</v>
      </c>
      <c r="P231" t="s">
        <v>175</v>
      </c>
      <c r="Q231" t="s">
        <v>34</v>
      </c>
      <c r="R231">
        <v>0</v>
      </c>
      <c r="S231">
        <v>0</v>
      </c>
      <c r="T231">
        <v>2880</v>
      </c>
    </row>
    <row r="232" spans="15:20" x14ac:dyDescent="0.3">
      <c r="O232">
        <v>231</v>
      </c>
      <c r="P232" t="s">
        <v>175</v>
      </c>
      <c r="Q232" t="s">
        <v>37</v>
      </c>
      <c r="R232">
        <v>0</v>
      </c>
      <c r="S232">
        <v>0</v>
      </c>
      <c r="T232">
        <v>2880</v>
      </c>
    </row>
    <row r="233" spans="15:20" x14ac:dyDescent="0.3">
      <c r="O233">
        <v>232</v>
      </c>
      <c r="P233" t="s">
        <v>176</v>
      </c>
      <c r="Q233" t="s">
        <v>34</v>
      </c>
      <c r="R233">
        <v>675</v>
      </c>
      <c r="S233">
        <v>1399</v>
      </c>
      <c r="T233">
        <v>807</v>
      </c>
    </row>
    <row r="234" spans="15:20" x14ac:dyDescent="0.3">
      <c r="O234">
        <v>233</v>
      </c>
      <c r="P234" t="s">
        <v>176</v>
      </c>
      <c r="Q234" t="s">
        <v>37</v>
      </c>
      <c r="R234">
        <v>816</v>
      </c>
      <c r="S234">
        <v>2069</v>
      </c>
      <c r="T234">
        <v>0</v>
      </c>
    </row>
    <row r="235" spans="15:20" x14ac:dyDescent="0.3">
      <c r="O235">
        <v>234</v>
      </c>
      <c r="P235" t="s">
        <v>177</v>
      </c>
      <c r="Q235" t="s">
        <v>34</v>
      </c>
      <c r="R235">
        <v>1445</v>
      </c>
      <c r="S235">
        <v>1437</v>
      </c>
      <c r="T235">
        <v>0</v>
      </c>
    </row>
    <row r="236" spans="15:20" x14ac:dyDescent="0.3">
      <c r="O236">
        <v>235</v>
      </c>
      <c r="P236" t="s">
        <v>177</v>
      </c>
      <c r="Q236" t="s">
        <v>37</v>
      </c>
      <c r="R236">
        <v>734</v>
      </c>
      <c r="S236">
        <v>2147</v>
      </c>
      <c r="T236">
        <v>0</v>
      </c>
    </row>
    <row r="237" spans="15:20" x14ac:dyDescent="0.3">
      <c r="O237">
        <v>236</v>
      </c>
      <c r="P237" t="s">
        <v>178</v>
      </c>
      <c r="Q237" t="s">
        <v>34</v>
      </c>
      <c r="R237">
        <v>1172</v>
      </c>
      <c r="S237">
        <v>1709</v>
      </c>
      <c r="T237">
        <v>0</v>
      </c>
    </row>
    <row r="238" spans="15:20" x14ac:dyDescent="0.3">
      <c r="O238">
        <v>237</v>
      </c>
      <c r="P238" t="s">
        <v>178</v>
      </c>
      <c r="Q238" t="s">
        <v>37</v>
      </c>
      <c r="R238">
        <v>455</v>
      </c>
      <c r="S238">
        <v>2425</v>
      </c>
      <c r="T238">
        <v>0</v>
      </c>
    </row>
    <row r="239" spans="15:20" x14ac:dyDescent="0.3">
      <c r="O239">
        <v>238</v>
      </c>
      <c r="P239" t="s">
        <v>179</v>
      </c>
      <c r="Q239" t="s">
        <v>34</v>
      </c>
      <c r="R239">
        <v>2749</v>
      </c>
      <c r="S239">
        <v>129</v>
      </c>
      <c r="T239">
        <v>0</v>
      </c>
    </row>
    <row r="240" spans="15:20" x14ac:dyDescent="0.3">
      <c r="O240">
        <v>239</v>
      </c>
      <c r="P240" t="s">
        <v>179</v>
      </c>
      <c r="Q240" t="s">
        <v>37</v>
      </c>
      <c r="R240">
        <v>2880</v>
      </c>
      <c r="S240">
        <v>0</v>
      </c>
      <c r="T240">
        <v>0</v>
      </c>
    </row>
    <row r="241" spans="15:20" x14ac:dyDescent="0.3">
      <c r="O241">
        <v>240</v>
      </c>
      <c r="P241" t="s">
        <v>180</v>
      </c>
      <c r="Q241" t="s">
        <v>34</v>
      </c>
      <c r="R241">
        <v>2880</v>
      </c>
      <c r="S241">
        <v>0</v>
      </c>
      <c r="T241">
        <v>0</v>
      </c>
    </row>
    <row r="242" spans="15:20" x14ac:dyDescent="0.3">
      <c r="O242">
        <v>241</v>
      </c>
      <c r="P242" t="s">
        <v>180</v>
      </c>
      <c r="Q242" t="s">
        <v>37</v>
      </c>
      <c r="R242">
        <v>2880</v>
      </c>
      <c r="S242">
        <v>0</v>
      </c>
      <c r="T242">
        <v>0</v>
      </c>
    </row>
    <row r="243" spans="15:20" x14ac:dyDescent="0.3">
      <c r="O243">
        <v>242</v>
      </c>
      <c r="P243" t="s">
        <v>181</v>
      </c>
      <c r="Q243" t="s">
        <v>34</v>
      </c>
      <c r="R243">
        <v>2880</v>
      </c>
      <c r="S243">
        <v>0</v>
      </c>
      <c r="T243">
        <v>0</v>
      </c>
    </row>
    <row r="244" spans="15:20" x14ac:dyDescent="0.3">
      <c r="O244">
        <v>243</v>
      </c>
      <c r="P244" t="s">
        <v>181</v>
      </c>
      <c r="Q244" t="s">
        <v>37</v>
      </c>
      <c r="R244">
        <v>2880</v>
      </c>
      <c r="S244">
        <v>0</v>
      </c>
      <c r="T244">
        <v>0</v>
      </c>
    </row>
    <row r="245" spans="15:20" x14ac:dyDescent="0.3">
      <c r="O245">
        <v>244</v>
      </c>
      <c r="P245" t="s">
        <v>182</v>
      </c>
      <c r="Q245" t="s">
        <v>34</v>
      </c>
      <c r="R245">
        <v>2880</v>
      </c>
      <c r="S245">
        <v>0</v>
      </c>
      <c r="T245">
        <v>0</v>
      </c>
    </row>
    <row r="246" spans="15:20" x14ac:dyDescent="0.3">
      <c r="O246">
        <v>245</v>
      </c>
      <c r="P246" t="s">
        <v>182</v>
      </c>
      <c r="Q246" t="s">
        <v>37</v>
      </c>
      <c r="R246">
        <v>2880</v>
      </c>
      <c r="S246">
        <v>0</v>
      </c>
      <c r="T246">
        <v>0</v>
      </c>
    </row>
    <row r="247" spans="15:20" x14ac:dyDescent="0.3">
      <c r="O247">
        <v>246</v>
      </c>
      <c r="P247" t="s">
        <v>183</v>
      </c>
      <c r="Q247" t="s">
        <v>34</v>
      </c>
      <c r="R247">
        <v>1542</v>
      </c>
      <c r="S247">
        <v>1337</v>
      </c>
      <c r="T247">
        <v>1</v>
      </c>
    </row>
    <row r="248" spans="15:20" x14ac:dyDescent="0.3">
      <c r="O248">
        <v>247</v>
      </c>
      <c r="P248" t="s">
        <v>183</v>
      </c>
      <c r="Q248" t="s">
        <v>37</v>
      </c>
      <c r="R248">
        <v>730</v>
      </c>
      <c r="S248">
        <v>2151</v>
      </c>
      <c r="T248">
        <v>0</v>
      </c>
    </row>
    <row r="249" spans="15:20" x14ac:dyDescent="0.3">
      <c r="O249">
        <v>248</v>
      </c>
      <c r="P249" t="s">
        <v>184</v>
      </c>
      <c r="Q249" t="s">
        <v>34</v>
      </c>
      <c r="R249">
        <v>1283</v>
      </c>
      <c r="S249">
        <v>1597</v>
      </c>
      <c r="T249">
        <v>0</v>
      </c>
    </row>
    <row r="250" spans="15:20" x14ac:dyDescent="0.3">
      <c r="O250">
        <v>249</v>
      </c>
      <c r="P250" t="s">
        <v>184</v>
      </c>
      <c r="Q250" t="s">
        <v>37</v>
      </c>
      <c r="R250">
        <v>817</v>
      </c>
      <c r="S250">
        <v>2066</v>
      </c>
      <c r="T250">
        <v>0</v>
      </c>
    </row>
    <row r="251" spans="15:20" x14ac:dyDescent="0.3">
      <c r="O251">
        <v>250</v>
      </c>
      <c r="P251" t="s">
        <v>185</v>
      </c>
      <c r="Q251" t="s">
        <v>34</v>
      </c>
      <c r="R251">
        <v>1034</v>
      </c>
      <c r="S251">
        <v>1847</v>
      </c>
      <c r="T251">
        <v>0</v>
      </c>
    </row>
    <row r="252" spans="15:20" x14ac:dyDescent="0.3">
      <c r="O252">
        <v>251</v>
      </c>
      <c r="P252" t="s">
        <v>185</v>
      </c>
      <c r="Q252" t="s">
        <v>37</v>
      </c>
      <c r="R252">
        <v>884</v>
      </c>
      <c r="S252">
        <v>1997</v>
      </c>
      <c r="T252">
        <v>0</v>
      </c>
    </row>
    <row r="253" spans="15:20" x14ac:dyDescent="0.3">
      <c r="O253">
        <v>252</v>
      </c>
      <c r="P253" t="s">
        <v>186</v>
      </c>
      <c r="Q253" t="s">
        <v>34</v>
      </c>
      <c r="R253">
        <v>1198</v>
      </c>
      <c r="S253">
        <v>1684</v>
      </c>
      <c r="T253">
        <v>0</v>
      </c>
    </row>
    <row r="254" spans="15:20" x14ac:dyDescent="0.3">
      <c r="O254">
        <v>253</v>
      </c>
      <c r="P254" t="s">
        <v>186</v>
      </c>
      <c r="Q254" t="s">
        <v>37</v>
      </c>
      <c r="R254">
        <v>544</v>
      </c>
      <c r="S254">
        <v>2339</v>
      </c>
      <c r="T254">
        <v>0</v>
      </c>
    </row>
    <row r="255" spans="15:20" x14ac:dyDescent="0.3">
      <c r="O255">
        <v>254</v>
      </c>
      <c r="P255" t="s">
        <v>187</v>
      </c>
      <c r="Q255" t="s">
        <v>34</v>
      </c>
      <c r="R255">
        <v>1137</v>
      </c>
      <c r="S255">
        <v>1744</v>
      </c>
      <c r="T255">
        <v>0</v>
      </c>
    </row>
    <row r="256" spans="15:20" x14ac:dyDescent="0.3">
      <c r="O256">
        <v>255</v>
      </c>
      <c r="P256" t="s">
        <v>187</v>
      </c>
      <c r="Q256" t="s">
        <v>37</v>
      </c>
      <c r="R256">
        <v>820</v>
      </c>
      <c r="S256">
        <v>2060</v>
      </c>
      <c r="T256">
        <v>0</v>
      </c>
    </row>
    <row r="257" spans="15:20" x14ac:dyDescent="0.3">
      <c r="O257">
        <v>256</v>
      </c>
      <c r="P257" t="s">
        <v>188</v>
      </c>
      <c r="Q257" t="s">
        <v>34</v>
      </c>
      <c r="R257">
        <v>1202</v>
      </c>
      <c r="S257">
        <v>1677</v>
      </c>
      <c r="T257">
        <v>0</v>
      </c>
    </row>
    <row r="258" spans="15:20" x14ac:dyDescent="0.3">
      <c r="O258">
        <v>257</v>
      </c>
      <c r="P258" t="s">
        <v>188</v>
      </c>
      <c r="Q258" t="s">
        <v>37</v>
      </c>
      <c r="R258">
        <v>1175</v>
      </c>
      <c r="S258">
        <v>1704</v>
      </c>
      <c r="T258">
        <v>0</v>
      </c>
    </row>
    <row r="259" spans="15:20" x14ac:dyDescent="0.3">
      <c r="O259">
        <v>258</v>
      </c>
      <c r="P259" t="s">
        <v>189</v>
      </c>
      <c r="Q259" t="s">
        <v>34</v>
      </c>
      <c r="R259">
        <v>1287</v>
      </c>
      <c r="S259">
        <v>1590</v>
      </c>
      <c r="T259">
        <v>7</v>
      </c>
    </row>
    <row r="260" spans="15:20" x14ac:dyDescent="0.3">
      <c r="O260">
        <v>259</v>
      </c>
      <c r="P260" t="s">
        <v>189</v>
      </c>
      <c r="Q260" t="s">
        <v>37</v>
      </c>
      <c r="R260">
        <v>2014</v>
      </c>
      <c r="S260">
        <v>144</v>
      </c>
      <c r="T260">
        <v>720</v>
      </c>
    </row>
    <row r="261" spans="15:20" x14ac:dyDescent="0.3">
      <c r="O261">
        <v>260</v>
      </c>
      <c r="P261" t="s">
        <v>190</v>
      </c>
      <c r="Q261" t="s">
        <v>34</v>
      </c>
      <c r="R261">
        <v>1155</v>
      </c>
      <c r="S261">
        <v>1521</v>
      </c>
      <c r="T261">
        <v>203</v>
      </c>
    </row>
    <row r="262" spans="15:20" x14ac:dyDescent="0.3">
      <c r="O262">
        <v>261</v>
      </c>
      <c r="P262" t="s">
        <v>190</v>
      </c>
      <c r="Q262" t="s">
        <v>37</v>
      </c>
      <c r="R262">
        <v>525</v>
      </c>
      <c r="S262">
        <v>2354</v>
      </c>
      <c r="T262">
        <v>0</v>
      </c>
    </row>
    <row r="263" spans="15:20" x14ac:dyDescent="0.3">
      <c r="O263">
        <v>262</v>
      </c>
      <c r="P263" t="s">
        <v>191</v>
      </c>
      <c r="Q263" t="s">
        <v>34</v>
      </c>
      <c r="R263">
        <v>1027</v>
      </c>
      <c r="S263">
        <v>1853</v>
      </c>
      <c r="T263">
        <v>0</v>
      </c>
    </row>
    <row r="264" spans="15:20" x14ac:dyDescent="0.3">
      <c r="O264">
        <v>263</v>
      </c>
      <c r="P264" t="s">
        <v>191</v>
      </c>
      <c r="Q264" t="s">
        <v>37</v>
      </c>
      <c r="R264">
        <v>767</v>
      </c>
      <c r="S264">
        <v>2113</v>
      </c>
      <c r="T264">
        <v>0</v>
      </c>
    </row>
    <row r="265" spans="15:20" x14ac:dyDescent="0.3">
      <c r="O265">
        <v>264</v>
      </c>
      <c r="P265" t="s">
        <v>192</v>
      </c>
      <c r="Q265" t="s">
        <v>34</v>
      </c>
      <c r="R265">
        <v>1526</v>
      </c>
      <c r="S265">
        <v>1355</v>
      </c>
      <c r="T265">
        <v>0</v>
      </c>
    </row>
    <row r="266" spans="15:20" x14ac:dyDescent="0.3">
      <c r="O266">
        <v>265</v>
      </c>
      <c r="P266" t="s">
        <v>192</v>
      </c>
      <c r="Q266" t="s">
        <v>37</v>
      </c>
      <c r="R266">
        <v>518</v>
      </c>
      <c r="S266">
        <v>2206</v>
      </c>
      <c r="T266">
        <v>155</v>
      </c>
    </row>
    <row r="267" spans="15:20" x14ac:dyDescent="0.3">
      <c r="O267">
        <v>266</v>
      </c>
      <c r="P267" t="s">
        <v>193</v>
      </c>
      <c r="Q267" t="s">
        <v>34</v>
      </c>
      <c r="R267">
        <v>1098</v>
      </c>
      <c r="S267">
        <v>1581</v>
      </c>
      <c r="T267">
        <v>201</v>
      </c>
    </row>
    <row r="268" spans="15:20" x14ac:dyDescent="0.3">
      <c r="O268">
        <v>267</v>
      </c>
      <c r="P268" t="s">
        <v>193</v>
      </c>
      <c r="Q268" t="s">
        <v>37</v>
      </c>
      <c r="R268">
        <v>607</v>
      </c>
      <c r="S268">
        <v>2275</v>
      </c>
      <c r="T268">
        <v>0</v>
      </c>
    </row>
    <row r="269" spans="15:20" x14ac:dyDescent="0.3">
      <c r="O269">
        <v>268</v>
      </c>
      <c r="P269" t="s">
        <v>194</v>
      </c>
      <c r="Q269" t="s">
        <v>34</v>
      </c>
      <c r="R269">
        <v>1227</v>
      </c>
      <c r="S269">
        <v>1653</v>
      </c>
      <c r="T269">
        <v>0</v>
      </c>
    </row>
    <row r="270" spans="15:20" x14ac:dyDescent="0.3">
      <c r="O270">
        <v>269</v>
      </c>
      <c r="P270" t="s">
        <v>194</v>
      </c>
      <c r="Q270" t="s">
        <v>37</v>
      </c>
      <c r="R270">
        <v>818</v>
      </c>
      <c r="S270">
        <v>2063</v>
      </c>
      <c r="T270">
        <v>0</v>
      </c>
    </row>
    <row r="271" spans="15:20" x14ac:dyDescent="0.3">
      <c r="O271">
        <v>270</v>
      </c>
      <c r="P271" t="s">
        <v>195</v>
      </c>
      <c r="Q271" t="s">
        <v>34</v>
      </c>
      <c r="R271">
        <v>1348</v>
      </c>
      <c r="S271">
        <v>1533</v>
      </c>
      <c r="T271">
        <v>0</v>
      </c>
    </row>
    <row r="272" spans="15:20" x14ac:dyDescent="0.3">
      <c r="O272">
        <v>271</v>
      </c>
      <c r="P272" t="s">
        <v>195</v>
      </c>
      <c r="Q272" t="s">
        <v>37</v>
      </c>
      <c r="R272">
        <v>877</v>
      </c>
      <c r="S272">
        <v>2003</v>
      </c>
      <c r="T272">
        <v>0</v>
      </c>
    </row>
    <row r="273" spans="15:20" x14ac:dyDescent="0.3">
      <c r="O273">
        <v>272</v>
      </c>
      <c r="P273" t="s">
        <v>196</v>
      </c>
      <c r="Q273" t="s">
        <v>34</v>
      </c>
      <c r="R273">
        <v>1345</v>
      </c>
      <c r="S273">
        <v>1525</v>
      </c>
      <c r="T273">
        <v>11</v>
      </c>
    </row>
    <row r="274" spans="15:20" x14ac:dyDescent="0.3">
      <c r="O274">
        <v>273</v>
      </c>
      <c r="P274" t="s">
        <v>196</v>
      </c>
      <c r="Q274" t="s">
        <v>37</v>
      </c>
      <c r="R274">
        <v>1395</v>
      </c>
      <c r="S274">
        <v>48</v>
      </c>
      <c r="T274">
        <v>1435</v>
      </c>
    </row>
    <row r="275" spans="15:20" x14ac:dyDescent="0.3">
      <c r="O275">
        <v>274</v>
      </c>
      <c r="P275" t="s">
        <v>197</v>
      </c>
      <c r="Q275" t="s">
        <v>34</v>
      </c>
      <c r="R275">
        <v>884</v>
      </c>
      <c r="S275">
        <v>1601</v>
      </c>
      <c r="T275">
        <v>396</v>
      </c>
    </row>
    <row r="276" spans="15:20" x14ac:dyDescent="0.3">
      <c r="O276">
        <v>275</v>
      </c>
      <c r="P276" t="s">
        <v>197</v>
      </c>
      <c r="Q276" t="s">
        <v>37</v>
      </c>
      <c r="R276">
        <v>396</v>
      </c>
      <c r="S276">
        <v>2484</v>
      </c>
      <c r="T276">
        <v>0</v>
      </c>
    </row>
    <row r="277" spans="15:20" x14ac:dyDescent="0.3">
      <c r="O277">
        <v>276</v>
      </c>
      <c r="P277" t="s">
        <v>198</v>
      </c>
      <c r="Q277" t="s">
        <v>34</v>
      </c>
      <c r="R277">
        <v>703</v>
      </c>
      <c r="S277">
        <v>2178</v>
      </c>
      <c r="T277">
        <v>0</v>
      </c>
    </row>
    <row r="278" spans="15:20" x14ac:dyDescent="0.3">
      <c r="O278">
        <v>277</v>
      </c>
      <c r="P278" t="s">
        <v>198</v>
      </c>
      <c r="Q278" t="s">
        <v>37</v>
      </c>
      <c r="R278">
        <v>944</v>
      </c>
      <c r="S278">
        <v>1936</v>
      </c>
      <c r="T278">
        <v>0</v>
      </c>
    </row>
    <row r="279" spans="15:20" x14ac:dyDescent="0.3">
      <c r="O279">
        <v>278</v>
      </c>
      <c r="P279" t="s">
        <v>199</v>
      </c>
      <c r="Q279" t="s">
        <v>34</v>
      </c>
      <c r="R279">
        <v>1178</v>
      </c>
      <c r="S279">
        <v>1703</v>
      </c>
      <c r="T279">
        <v>0</v>
      </c>
    </row>
    <row r="280" spans="15:20" x14ac:dyDescent="0.3">
      <c r="O280">
        <v>279</v>
      </c>
      <c r="P280" t="s">
        <v>199</v>
      </c>
      <c r="Q280" t="s">
        <v>37</v>
      </c>
      <c r="R280">
        <v>817</v>
      </c>
      <c r="S280">
        <v>2066</v>
      </c>
      <c r="T280">
        <v>0</v>
      </c>
    </row>
    <row r="281" spans="15:20" x14ac:dyDescent="0.3">
      <c r="O281">
        <v>280</v>
      </c>
      <c r="P281" t="s">
        <v>200</v>
      </c>
      <c r="Q281" t="s">
        <v>34</v>
      </c>
      <c r="R281">
        <v>1309</v>
      </c>
      <c r="S281">
        <v>1571</v>
      </c>
      <c r="T281">
        <v>0</v>
      </c>
    </row>
    <row r="282" spans="15:20" x14ac:dyDescent="0.3">
      <c r="O282">
        <v>281</v>
      </c>
      <c r="P282" t="s">
        <v>200</v>
      </c>
      <c r="Q282" t="s">
        <v>37</v>
      </c>
      <c r="R282">
        <v>1048</v>
      </c>
      <c r="S282">
        <v>1834</v>
      </c>
      <c r="T282">
        <v>0</v>
      </c>
    </row>
    <row r="283" spans="15:20" x14ac:dyDescent="0.3">
      <c r="O283">
        <v>282</v>
      </c>
      <c r="P283" t="s">
        <v>201</v>
      </c>
      <c r="Q283" t="s">
        <v>34</v>
      </c>
      <c r="R283">
        <v>1301</v>
      </c>
      <c r="S283">
        <v>1580</v>
      </c>
      <c r="T283">
        <v>0</v>
      </c>
    </row>
    <row r="284" spans="15:20" x14ac:dyDescent="0.3">
      <c r="O284">
        <v>283</v>
      </c>
      <c r="P284" t="s">
        <v>201</v>
      </c>
      <c r="Q284" t="s">
        <v>37</v>
      </c>
      <c r="R284">
        <v>640</v>
      </c>
      <c r="S284">
        <v>2243</v>
      </c>
      <c r="T284">
        <v>0</v>
      </c>
    </row>
    <row r="285" spans="15:20" x14ac:dyDescent="0.3">
      <c r="O285">
        <v>284</v>
      </c>
      <c r="P285" t="s">
        <v>202</v>
      </c>
      <c r="Q285" t="s">
        <v>34</v>
      </c>
      <c r="R285">
        <v>1139</v>
      </c>
      <c r="S285">
        <v>1738</v>
      </c>
      <c r="T285">
        <v>0</v>
      </c>
    </row>
    <row r="286" spans="15:20" x14ac:dyDescent="0.3">
      <c r="O286">
        <v>285</v>
      </c>
      <c r="P286" t="s">
        <v>202</v>
      </c>
      <c r="Q286" t="s">
        <v>37</v>
      </c>
      <c r="R286">
        <v>1063</v>
      </c>
      <c r="S286">
        <v>1817</v>
      </c>
      <c r="T286">
        <v>0</v>
      </c>
    </row>
    <row r="287" spans="15:20" x14ac:dyDescent="0.3">
      <c r="O287">
        <v>286</v>
      </c>
      <c r="P287" t="s">
        <v>203</v>
      </c>
      <c r="Q287" t="s">
        <v>34</v>
      </c>
      <c r="R287">
        <v>1228</v>
      </c>
      <c r="S287">
        <v>1650</v>
      </c>
      <c r="T287">
        <v>1</v>
      </c>
    </row>
    <row r="288" spans="15:20" x14ac:dyDescent="0.3">
      <c r="O288">
        <v>287</v>
      </c>
      <c r="P288" t="s">
        <v>203</v>
      </c>
      <c r="Q288" t="s">
        <v>37</v>
      </c>
      <c r="R288">
        <v>2716</v>
      </c>
      <c r="S288">
        <v>160</v>
      </c>
      <c r="T288">
        <v>0</v>
      </c>
    </row>
    <row r="289" spans="15:20" x14ac:dyDescent="0.3">
      <c r="O289">
        <v>288</v>
      </c>
      <c r="P289" t="s">
        <v>204</v>
      </c>
      <c r="Q289" t="s">
        <v>34</v>
      </c>
      <c r="R289">
        <v>1217</v>
      </c>
      <c r="S289">
        <v>1651</v>
      </c>
      <c r="T289">
        <v>10</v>
      </c>
    </row>
    <row r="290" spans="15:20" x14ac:dyDescent="0.3">
      <c r="O290">
        <v>289</v>
      </c>
      <c r="P290" t="s">
        <v>204</v>
      </c>
      <c r="Q290" t="s">
        <v>37</v>
      </c>
      <c r="R290">
        <v>512</v>
      </c>
      <c r="S290">
        <v>2368</v>
      </c>
      <c r="T290">
        <v>0</v>
      </c>
    </row>
    <row r="291" spans="15:20" x14ac:dyDescent="0.3">
      <c r="O291">
        <v>290</v>
      </c>
      <c r="P291" t="s">
        <v>205</v>
      </c>
      <c r="Q291" t="s">
        <v>34</v>
      </c>
      <c r="R291">
        <v>1015</v>
      </c>
      <c r="S291">
        <v>1866</v>
      </c>
      <c r="T291">
        <v>0</v>
      </c>
    </row>
    <row r="292" spans="15:20" x14ac:dyDescent="0.3">
      <c r="O292">
        <v>291</v>
      </c>
      <c r="P292" t="s">
        <v>205</v>
      </c>
      <c r="Q292" t="s">
        <v>37</v>
      </c>
      <c r="R292">
        <v>921</v>
      </c>
      <c r="S292">
        <v>1962</v>
      </c>
      <c r="T292">
        <v>0</v>
      </c>
    </row>
    <row r="293" spans="15:20" x14ac:dyDescent="0.3">
      <c r="O293">
        <v>292</v>
      </c>
      <c r="P293" t="s">
        <v>206</v>
      </c>
      <c r="Q293" t="s">
        <v>34</v>
      </c>
      <c r="R293">
        <v>1349</v>
      </c>
      <c r="S293">
        <v>1532</v>
      </c>
      <c r="T293">
        <v>0</v>
      </c>
    </row>
    <row r="294" spans="15:20" x14ac:dyDescent="0.3">
      <c r="O294">
        <v>293</v>
      </c>
      <c r="P294" t="s">
        <v>206</v>
      </c>
      <c r="Q294" t="s">
        <v>37</v>
      </c>
      <c r="R294">
        <v>719</v>
      </c>
      <c r="S294">
        <v>2160</v>
      </c>
      <c r="T294">
        <v>0</v>
      </c>
    </row>
    <row r="295" spans="15:20" x14ac:dyDescent="0.3">
      <c r="O295">
        <v>294</v>
      </c>
      <c r="P295" t="s">
        <v>207</v>
      </c>
      <c r="Q295" t="s">
        <v>34</v>
      </c>
      <c r="R295">
        <v>1095</v>
      </c>
      <c r="S295">
        <v>1783</v>
      </c>
      <c r="T295">
        <v>0</v>
      </c>
    </row>
    <row r="296" spans="15:20" x14ac:dyDescent="0.3">
      <c r="O296">
        <v>295</v>
      </c>
      <c r="P296" t="s">
        <v>207</v>
      </c>
      <c r="Q296" t="s">
        <v>37</v>
      </c>
      <c r="R296">
        <v>944</v>
      </c>
      <c r="S296">
        <v>1935</v>
      </c>
      <c r="T296">
        <v>0</v>
      </c>
    </row>
    <row r="297" spans="15:20" x14ac:dyDescent="0.3">
      <c r="O297">
        <v>296</v>
      </c>
      <c r="P297" t="s">
        <v>208</v>
      </c>
      <c r="Q297" t="s">
        <v>34</v>
      </c>
      <c r="R297">
        <v>1253</v>
      </c>
      <c r="S297">
        <v>1627</v>
      </c>
      <c r="T297">
        <v>0</v>
      </c>
    </row>
    <row r="298" spans="15:20" x14ac:dyDescent="0.3">
      <c r="O298">
        <v>297</v>
      </c>
      <c r="P298" t="s">
        <v>208</v>
      </c>
      <c r="Q298" t="s">
        <v>37</v>
      </c>
      <c r="R298">
        <v>697</v>
      </c>
      <c r="S298">
        <v>2184</v>
      </c>
      <c r="T298">
        <v>0</v>
      </c>
    </row>
    <row r="299" spans="15:20" x14ac:dyDescent="0.3">
      <c r="O299">
        <v>298</v>
      </c>
      <c r="P299" t="s">
        <v>209</v>
      </c>
      <c r="Q299" t="s">
        <v>34</v>
      </c>
      <c r="R299">
        <v>1297</v>
      </c>
      <c r="S299">
        <v>1585</v>
      </c>
      <c r="T299">
        <v>0</v>
      </c>
    </row>
    <row r="300" spans="15:20" x14ac:dyDescent="0.3">
      <c r="O300">
        <v>299</v>
      </c>
      <c r="P300" t="s">
        <v>209</v>
      </c>
      <c r="Q300" t="s">
        <v>37</v>
      </c>
      <c r="R300">
        <v>345</v>
      </c>
      <c r="S300">
        <v>1794</v>
      </c>
      <c r="T300">
        <v>741</v>
      </c>
    </row>
    <row r="301" spans="15:20" x14ac:dyDescent="0.3">
      <c r="O301">
        <v>300</v>
      </c>
      <c r="P301" t="s">
        <v>210</v>
      </c>
      <c r="Q301" t="s">
        <v>34</v>
      </c>
      <c r="R301">
        <v>371</v>
      </c>
      <c r="S301">
        <v>0</v>
      </c>
      <c r="T301">
        <v>2432</v>
      </c>
    </row>
    <row r="302" spans="15:20" x14ac:dyDescent="0.3">
      <c r="O302">
        <v>301</v>
      </c>
      <c r="P302" t="s">
        <v>210</v>
      </c>
      <c r="Q302" t="s">
        <v>37</v>
      </c>
      <c r="R302">
        <v>0</v>
      </c>
      <c r="S302">
        <v>0</v>
      </c>
      <c r="T302">
        <v>2880</v>
      </c>
    </row>
    <row r="303" spans="15:20" x14ac:dyDescent="0.3">
      <c r="O303">
        <v>302</v>
      </c>
      <c r="P303" t="s">
        <v>33</v>
      </c>
      <c r="Q303" t="s">
        <v>34</v>
      </c>
      <c r="R303">
        <v>684</v>
      </c>
      <c r="S303">
        <v>1404</v>
      </c>
      <c r="T303">
        <v>794</v>
      </c>
    </row>
    <row r="304" spans="15:20" x14ac:dyDescent="0.3">
      <c r="O304">
        <v>303</v>
      </c>
      <c r="P304" t="s">
        <v>33</v>
      </c>
      <c r="Q304" t="s">
        <v>37</v>
      </c>
      <c r="R304">
        <v>750</v>
      </c>
      <c r="S304">
        <v>2131</v>
      </c>
      <c r="T304">
        <v>0</v>
      </c>
    </row>
    <row r="305" spans="15:20" x14ac:dyDescent="0.3">
      <c r="O305">
        <v>304</v>
      </c>
      <c r="P305" t="s">
        <v>39</v>
      </c>
      <c r="Q305" t="s">
        <v>34</v>
      </c>
      <c r="R305">
        <v>1194</v>
      </c>
      <c r="S305">
        <v>1687</v>
      </c>
      <c r="T305">
        <v>0</v>
      </c>
    </row>
    <row r="306" spans="15:20" x14ac:dyDescent="0.3">
      <c r="O306">
        <v>305</v>
      </c>
      <c r="P306" t="s">
        <v>39</v>
      </c>
      <c r="Q306" t="s">
        <v>37</v>
      </c>
      <c r="R306">
        <v>975</v>
      </c>
      <c r="S306">
        <v>1910</v>
      </c>
      <c r="T306">
        <v>0</v>
      </c>
    </row>
    <row r="307" spans="15:20" x14ac:dyDescent="0.3">
      <c r="O307">
        <v>306</v>
      </c>
      <c r="P307" t="s">
        <v>43</v>
      </c>
      <c r="Q307" t="s">
        <v>34</v>
      </c>
      <c r="R307">
        <v>1536</v>
      </c>
      <c r="S307">
        <v>1343</v>
      </c>
      <c r="T307">
        <v>0</v>
      </c>
    </row>
    <row r="308" spans="15:20" x14ac:dyDescent="0.3">
      <c r="O308">
        <v>307</v>
      </c>
      <c r="P308" t="s">
        <v>43</v>
      </c>
      <c r="Q308" t="s">
        <v>37</v>
      </c>
      <c r="R308">
        <v>828</v>
      </c>
      <c r="S308">
        <v>2055</v>
      </c>
      <c r="T308">
        <v>0</v>
      </c>
    </row>
    <row r="309" spans="15:20" x14ac:dyDescent="0.3">
      <c r="O309">
        <v>308</v>
      </c>
      <c r="P309" t="s">
        <v>48</v>
      </c>
      <c r="Q309" t="s">
        <v>34</v>
      </c>
      <c r="R309">
        <v>1244</v>
      </c>
      <c r="S309">
        <v>1639</v>
      </c>
      <c r="T309">
        <v>0</v>
      </c>
    </row>
    <row r="310" spans="15:20" x14ac:dyDescent="0.3">
      <c r="O310">
        <v>309</v>
      </c>
      <c r="P310" t="s">
        <v>48</v>
      </c>
      <c r="Q310" t="s">
        <v>37</v>
      </c>
      <c r="R310">
        <v>1072</v>
      </c>
      <c r="S310">
        <v>1809</v>
      </c>
      <c r="T310">
        <v>0</v>
      </c>
    </row>
    <row r="311" spans="15:20" x14ac:dyDescent="0.3">
      <c r="O311">
        <v>310</v>
      </c>
      <c r="P311" t="s">
        <v>52</v>
      </c>
      <c r="Q311" t="s">
        <v>34</v>
      </c>
      <c r="R311">
        <v>1375</v>
      </c>
      <c r="S311">
        <v>1508</v>
      </c>
      <c r="T311">
        <v>0</v>
      </c>
    </row>
    <row r="312" spans="15:20" x14ac:dyDescent="0.3">
      <c r="O312">
        <v>311</v>
      </c>
      <c r="P312" t="s">
        <v>52</v>
      </c>
      <c r="Q312" t="s">
        <v>37</v>
      </c>
      <c r="R312">
        <v>712</v>
      </c>
      <c r="S312">
        <v>2170</v>
      </c>
      <c r="T312">
        <v>0</v>
      </c>
    </row>
    <row r="313" spans="15:20" x14ac:dyDescent="0.3">
      <c r="O313">
        <v>312</v>
      </c>
      <c r="P313" t="s">
        <v>56</v>
      </c>
      <c r="Q313" t="s">
        <v>34</v>
      </c>
      <c r="R313">
        <v>1190</v>
      </c>
      <c r="S313">
        <v>1689</v>
      </c>
      <c r="T313">
        <v>0</v>
      </c>
    </row>
    <row r="314" spans="15:20" x14ac:dyDescent="0.3">
      <c r="O314">
        <v>313</v>
      </c>
      <c r="P314" t="s">
        <v>56</v>
      </c>
      <c r="Q314" t="s">
        <v>37</v>
      </c>
      <c r="R314">
        <v>1306</v>
      </c>
      <c r="S314">
        <v>1573</v>
      </c>
      <c r="T314">
        <v>0</v>
      </c>
    </row>
    <row r="315" spans="15:20" x14ac:dyDescent="0.3">
      <c r="O315">
        <v>314</v>
      </c>
      <c r="P315" t="s">
        <v>60</v>
      </c>
      <c r="Q315" t="s">
        <v>34</v>
      </c>
      <c r="R315">
        <v>1430</v>
      </c>
      <c r="S315">
        <v>1441</v>
      </c>
      <c r="T315">
        <v>6</v>
      </c>
    </row>
    <row r="316" spans="15:20" x14ac:dyDescent="0.3">
      <c r="O316">
        <v>315</v>
      </c>
      <c r="P316" t="s">
        <v>60</v>
      </c>
      <c r="Q316" t="s">
        <v>37</v>
      </c>
      <c r="R316">
        <v>1946</v>
      </c>
      <c r="S316">
        <v>212</v>
      </c>
      <c r="T316">
        <v>720</v>
      </c>
    </row>
    <row r="317" spans="15:20" x14ac:dyDescent="0.3">
      <c r="O317">
        <v>316</v>
      </c>
      <c r="P317" t="s">
        <v>62</v>
      </c>
      <c r="Q317" t="s">
        <v>34</v>
      </c>
      <c r="R317">
        <v>1172</v>
      </c>
      <c r="S317">
        <v>1509</v>
      </c>
      <c r="T317">
        <v>200</v>
      </c>
    </row>
    <row r="318" spans="15:20" x14ac:dyDescent="0.3">
      <c r="O318">
        <v>317</v>
      </c>
      <c r="P318" t="s">
        <v>62</v>
      </c>
      <c r="Q318" t="s">
        <v>37</v>
      </c>
      <c r="R318">
        <v>495</v>
      </c>
      <c r="S318">
        <v>2385</v>
      </c>
      <c r="T318">
        <v>0</v>
      </c>
    </row>
    <row r="319" spans="15:20" x14ac:dyDescent="0.3">
      <c r="O319">
        <v>318</v>
      </c>
      <c r="P319" t="s">
        <v>64</v>
      </c>
      <c r="Q319" t="s">
        <v>34</v>
      </c>
      <c r="R319">
        <v>1234</v>
      </c>
      <c r="S319">
        <v>1649</v>
      </c>
      <c r="T319">
        <v>0</v>
      </c>
    </row>
    <row r="320" spans="15:20" x14ac:dyDescent="0.3">
      <c r="O320">
        <v>319</v>
      </c>
      <c r="P320" t="s">
        <v>64</v>
      </c>
      <c r="Q320" t="s">
        <v>37</v>
      </c>
      <c r="R320">
        <v>892</v>
      </c>
      <c r="S320">
        <v>1990</v>
      </c>
      <c r="T320">
        <v>0</v>
      </c>
    </row>
    <row r="321" spans="15:20" x14ac:dyDescent="0.3">
      <c r="O321">
        <v>320</v>
      </c>
      <c r="P321" t="s">
        <v>66</v>
      </c>
      <c r="Q321" t="s">
        <v>34</v>
      </c>
      <c r="R321">
        <v>1250</v>
      </c>
      <c r="S321">
        <v>1630</v>
      </c>
      <c r="T321">
        <v>0</v>
      </c>
    </row>
    <row r="322" spans="15:20" x14ac:dyDescent="0.3">
      <c r="O322">
        <v>321</v>
      </c>
      <c r="P322" t="s">
        <v>66</v>
      </c>
      <c r="Q322" t="s">
        <v>37</v>
      </c>
      <c r="R322">
        <v>759</v>
      </c>
      <c r="S322">
        <v>2120</v>
      </c>
      <c r="T322">
        <v>0</v>
      </c>
    </row>
    <row r="323" spans="15:20" x14ac:dyDescent="0.3">
      <c r="O323">
        <v>322</v>
      </c>
      <c r="P323" t="s">
        <v>68</v>
      </c>
      <c r="Q323" t="s">
        <v>34</v>
      </c>
      <c r="R323">
        <v>1170</v>
      </c>
      <c r="S323">
        <v>1710</v>
      </c>
      <c r="T323">
        <v>0</v>
      </c>
    </row>
    <row r="324" spans="15:20" x14ac:dyDescent="0.3">
      <c r="O324">
        <v>323</v>
      </c>
      <c r="P324" t="s">
        <v>68</v>
      </c>
      <c r="Q324" t="s">
        <v>37</v>
      </c>
      <c r="R324">
        <v>640</v>
      </c>
      <c r="S324">
        <v>2239</v>
      </c>
      <c r="T324">
        <v>0</v>
      </c>
    </row>
    <row r="325" spans="15:20" x14ac:dyDescent="0.3">
      <c r="O325">
        <v>324</v>
      </c>
      <c r="P325" t="s">
        <v>70</v>
      </c>
      <c r="Q325" t="s">
        <v>34</v>
      </c>
      <c r="R325">
        <v>1230</v>
      </c>
      <c r="S325">
        <v>1650</v>
      </c>
      <c r="T325">
        <v>0</v>
      </c>
    </row>
    <row r="326" spans="15:20" x14ac:dyDescent="0.3">
      <c r="O326">
        <v>325</v>
      </c>
      <c r="P326" t="s">
        <v>70</v>
      </c>
      <c r="Q326" t="s">
        <v>37</v>
      </c>
      <c r="R326">
        <v>897</v>
      </c>
      <c r="S326">
        <v>1985</v>
      </c>
      <c r="T326">
        <v>0</v>
      </c>
    </row>
    <row r="327" spans="15:20" x14ac:dyDescent="0.3">
      <c r="O327">
        <v>326</v>
      </c>
      <c r="P327" t="s">
        <v>72</v>
      </c>
      <c r="Q327" t="s">
        <v>34</v>
      </c>
      <c r="R327">
        <v>1330</v>
      </c>
      <c r="S327">
        <v>1551</v>
      </c>
      <c r="T327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327"/>
  <sheetViews>
    <sheetView zoomScale="115" zoomScaleNormal="115" workbookViewId="0">
      <selection activeCell="C11" sqref="C11"/>
    </sheetView>
  </sheetViews>
  <sheetFormatPr defaultRowHeight="14.4" x14ac:dyDescent="0.3"/>
  <cols>
    <col min="1" max="1" width="3.44140625" bestFit="1" customWidth="1"/>
    <col min="2" max="2" width="11.88671875" bestFit="1" customWidth="1"/>
    <col min="3" max="3" width="11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2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75</v>
      </c>
      <c r="E2">
        <v>441</v>
      </c>
      <c r="F2">
        <v>202</v>
      </c>
      <c r="H2" t="s">
        <v>35</v>
      </c>
      <c r="I2" s="1">
        <v>0.67764705882352938</v>
      </c>
      <c r="J2" s="1">
        <v>0.66694736842105262</v>
      </c>
      <c r="K2" s="1">
        <f>IFERROR(SUMIFS(S:S,P:P,"*/01/2026")/(SUMIFS(R:R,P:P,"*/01/2026")+SUMIFS(S:S,P:P,"*/01/2026")+SUMIFS(T:T,P:P,"*/01/2026")),"")</f>
        <v>0.4827036751477769</v>
      </c>
      <c r="L2" s="1">
        <f>IFERROR(SUMIFS(R:R,P:P,"*/01/2026")/(SUMIFS(R:R,P:P,"*/01/2026")+SUMIFS(S:S,P:P,"*/01/2026")+SUMIFS(T:T,P:P,"*/01/2026")),"")</f>
        <v>0.37684399897198662</v>
      </c>
      <c r="M2" s="1">
        <f>IFERROR(SUMIFS(T:T,P:P,"*/01/2026")/(SUMIFS(R:R,P:P,"*/01/2026")+SUMIFS(S:S,P:P,"*/01/2026")+SUMIFS(T:T,P:P,"*/01/2026")),"")</f>
        <v>0.14045232588023646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720</v>
      </c>
    </row>
    <row r="3" spans="1:20" x14ac:dyDescent="0.3">
      <c r="A3">
        <v>2</v>
      </c>
      <c r="B3" t="s">
        <v>33</v>
      </c>
      <c r="C3" t="s">
        <v>37</v>
      </c>
      <c r="D3">
        <v>343</v>
      </c>
      <c r="E3">
        <v>377</v>
      </c>
      <c r="F3">
        <v>0</v>
      </c>
      <c r="H3" t="s">
        <v>38</v>
      </c>
      <c r="I3" s="1">
        <v>0.67764705882352938</v>
      </c>
      <c r="J3" s="1">
        <v>0.66694736842105262</v>
      </c>
      <c r="K3" s="1">
        <f>IFERROR(SUMIFS(S:S,P:P,"*/02/2026")/(SUMIFS(R:R,P:P,"*/02/2026")+SUMIFS(S:S,P:P,"*/02/2026")+SUMIFS(T:T,P:P,"*/02/2026")),"")</f>
        <v>0.41719428436093786</v>
      </c>
      <c r="L3" s="1">
        <f>IFERROR(SUMIFS(R:R,P:P,"*/02/2026")/(SUMIFS(R:R,P:P,"*/02/2026")+SUMIFS(S:S,P:P,"*/02/2026")+SUMIFS(T:T,P:P,"*/02/2026")),"")</f>
        <v>0.30938659508960292</v>
      </c>
      <c r="M3" s="1">
        <f>IFERROR(SUMIFS(T:T,P:P,"*/02/2026")/(SUMIFS(R:R,P:P,"*/02/2026")+SUMIFS(S:S,P:P,"*/02/2026")+SUMIFS(T:T,P:P,"*/02/2026")),"")</f>
        <v>0.27341912054945922</v>
      </c>
      <c r="O3">
        <v>2</v>
      </c>
      <c r="P3" t="s">
        <v>36</v>
      </c>
      <c r="Q3" t="s">
        <v>37</v>
      </c>
      <c r="R3">
        <v>80</v>
      </c>
      <c r="S3">
        <v>41</v>
      </c>
      <c r="T3">
        <v>658</v>
      </c>
    </row>
    <row r="4" spans="1:20" x14ac:dyDescent="0.3">
      <c r="A4">
        <v>3</v>
      </c>
      <c r="B4" t="s">
        <v>39</v>
      </c>
      <c r="C4" t="s">
        <v>34</v>
      </c>
      <c r="D4">
        <v>304</v>
      </c>
      <c r="E4">
        <v>416</v>
      </c>
      <c r="F4">
        <v>0</v>
      </c>
      <c r="H4" t="s">
        <v>40</v>
      </c>
      <c r="I4" s="1">
        <v>0.67764705882352938</v>
      </c>
      <c r="J4" s="1">
        <v>0.66694736842105262</v>
      </c>
      <c r="K4" s="1">
        <f>IFERROR(SUMIFS(S:S,P:P,"*/03/2026")/(SUMIFS(R:R,P:P,"*/03/2026")+SUMIFS(S:S,P:P,"*/03/2026")+SUMIFS(T:T,P:P,"*/03/2026")),"")</f>
        <v>0.36643714564452046</v>
      </c>
      <c r="L4" s="1">
        <f>IFERROR(SUMIFS(R:R,P:P,"*/03/2026")/(SUMIFS(R:R,P:P,"*/03/2026")+SUMIFS(S:S,P:P,"*/03/2026")+SUMIFS(T:T,P:P,"*/03/2026")),"")</f>
        <v>0.37231891639684989</v>
      </c>
      <c r="M4" s="1">
        <f>IFERROR(SUMIFS(T:T,P:P,"*/03/2026")/(SUMIFS(R:R,P:P,"*/03/2026")+SUMIFS(S:S,P:P,"*/03/2026")+SUMIFS(T:T,P:P,"*/03/2026")),"")</f>
        <v>0.26124393795862966</v>
      </c>
      <c r="O4">
        <v>3</v>
      </c>
      <c r="P4" t="s">
        <v>41</v>
      </c>
      <c r="Q4" t="s">
        <v>34</v>
      </c>
      <c r="R4">
        <v>486</v>
      </c>
      <c r="S4">
        <v>954</v>
      </c>
      <c r="T4">
        <v>1</v>
      </c>
    </row>
    <row r="5" spans="1:20" x14ac:dyDescent="0.3">
      <c r="A5">
        <v>4</v>
      </c>
      <c r="B5" t="s">
        <v>39</v>
      </c>
      <c r="C5" t="s">
        <v>37</v>
      </c>
      <c r="D5">
        <v>276</v>
      </c>
      <c r="E5">
        <v>443</v>
      </c>
      <c r="F5">
        <v>0</v>
      </c>
      <c r="H5" t="s">
        <v>42</v>
      </c>
      <c r="I5" s="1">
        <v>0.67764705882352938</v>
      </c>
      <c r="J5" s="1">
        <v>0.66694736842105262</v>
      </c>
      <c r="K5" s="1">
        <f>IFERROR(SUMIFS(S:S,P:P,"*/04/2026")/(SUMIFS(R:R,P:P,"*/04/2026")+SUMIFS(S:S,P:P,"*/04/2026")+SUMIFS(T:T,P:P,"*/04/2026")),"")</f>
        <v>0.43801560758082497</v>
      </c>
      <c r="L5" s="1">
        <f>IFERROR(SUMIFS(R:R,P:P,"*/04/2026")/(SUMIFS(R:R,P:P,"*/04/2026")+SUMIFS(S:S,P:P,"*/04/2026")+SUMIFS(T:T,P:P,"*/04/2026")),"")</f>
        <v>0.35510033444816053</v>
      </c>
      <c r="M5" s="1">
        <f>IFERROR(SUMIFS(T:T,P:P,"*/04/2026")/(SUMIFS(R:R,P:P,"*/04/2026")+SUMIFS(S:S,P:P,"*/04/2026")+SUMIFS(T:T,P:P,"*/04/2026")),"")</f>
        <v>0.2068840579710145</v>
      </c>
      <c r="O5">
        <v>4</v>
      </c>
      <c r="P5" t="s">
        <v>41</v>
      </c>
      <c r="Q5" t="s">
        <v>37</v>
      </c>
      <c r="R5">
        <v>986</v>
      </c>
      <c r="S5">
        <v>453</v>
      </c>
      <c r="T5">
        <v>1</v>
      </c>
    </row>
    <row r="6" spans="1:20" x14ac:dyDescent="0.3">
      <c r="A6">
        <v>5</v>
      </c>
      <c r="B6" t="s">
        <v>43</v>
      </c>
      <c r="C6" t="s">
        <v>34</v>
      </c>
      <c r="D6">
        <v>338</v>
      </c>
      <c r="E6">
        <v>382</v>
      </c>
      <c r="F6">
        <v>0</v>
      </c>
      <c r="H6" t="s">
        <v>44</v>
      </c>
      <c r="I6" s="1">
        <v>0.67764705882352938</v>
      </c>
      <c r="J6" s="1">
        <v>0.66694736842105262</v>
      </c>
      <c r="K6" s="1">
        <f>IFERROR(SUMIFS(S:S,P:P,"*/05/2026")/(SUMIFS(R:R,P:P,"*/05/2026")+SUMIFS(S:S,P:P,"*/05/2026")+SUMIFS(T:T,P:P,"*/05/2026")),"")</f>
        <v>0.40828034712010436</v>
      </c>
      <c r="L6" s="1">
        <f>IFERROR(SUMIFS(R:R,P:P,"*/05/2026")/(SUMIFS(R:R,P:P,"*/05/2026")+SUMIFS(S:S,P:P,"*/05/2026")+SUMIFS(T:T,P:P,"*/05/2026")),"")</f>
        <v>0.28403371787171466</v>
      </c>
      <c r="M6" s="1">
        <f>IFERROR(SUMIFS(T:T,P:P,"*/05/2026")/(SUMIFS(R:R,P:P,"*/05/2026")+SUMIFS(S:S,P:P,"*/05/2026")+SUMIFS(T:T,P:P,"*/05/2026")),"")</f>
        <v>0.30768593500818092</v>
      </c>
      <c r="O6">
        <v>5</v>
      </c>
      <c r="P6" t="s">
        <v>45</v>
      </c>
      <c r="Q6" t="s">
        <v>37</v>
      </c>
      <c r="R6">
        <v>620</v>
      </c>
      <c r="S6">
        <v>1400</v>
      </c>
      <c r="T6">
        <v>160</v>
      </c>
    </row>
    <row r="7" spans="1:20" x14ac:dyDescent="0.3">
      <c r="A7">
        <v>6</v>
      </c>
      <c r="B7" t="s">
        <v>43</v>
      </c>
      <c r="C7" t="s">
        <v>37</v>
      </c>
      <c r="D7">
        <v>251</v>
      </c>
      <c r="E7">
        <v>468</v>
      </c>
      <c r="F7">
        <v>0</v>
      </c>
      <c r="H7" t="s">
        <v>46</v>
      </c>
      <c r="I7" s="1">
        <v>0.67764705882352938</v>
      </c>
      <c r="J7" s="1">
        <v>0.66694736842105262</v>
      </c>
      <c r="K7" s="1">
        <f>IFERROR(SUMIFS(S:S,P:P,"*/06/2026")/(SUMIFS(R:R,P:P,"*/06/2026")+SUMIFS(S:S,P:P,"*/06/2026")+SUMIFS(T:T,P:P,"*/06/2026")),"")</f>
        <v>0.45992774718529689</v>
      </c>
      <c r="L7" s="1">
        <f>IFERROR(SUMIFS(R:R,P:P,"*/06/2026")/(SUMIFS(R:R,P:P,"*/06/2026")+SUMIFS(S:S,P:P,"*/06/2026")+SUMIFS(T:T,P:P,"*/06/2026")),"")</f>
        <v>0.41825961909438464</v>
      </c>
      <c r="M7" s="1">
        <f>IFERROR(SUMIFS(T:T,P:P,"*/06/2026")/(SUMIFS(R:R,P:P,"*/06/2026")+SUMIFS(S:S,P:P,"*/06/2026")+SUMIFS(T:T,P:P,"*/06/2026")),"")</f>
        <v>0.12181263372031848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720</v>
      </c>
    </row>
    <row r="8" spans="1:20" x14ac:dyDescent="0.3">
      <c r="A8">
        <v>7</v>
      </c>
      <c r="B8" t="s">
        <v>48</v>
      </c>
      <c r="C8" t="s">
        <v>34</v>
      </c>
      <c r="D8">
        <v>317</v>
      </c>
      <c r="E8">
        <v>403</v>
      </c>
      <c r="F8">
        <v>0</v>
      </c>
      <c r="H8" t="s">
        <v>49</v>
      </c>
      <c r="I8" s="1">
        <v>0.67764705882352938</v>
      </c>
      <c r="J8" s="1">
        <v>0.66694736842105262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720</v>
      </c>
    </row>
    <row r="9" spans="1:20" x14ac:dyDescent="0.3">
      <c r="A9">
        <v>8</v>
      </c>
      <c r="B9" t="s">
        <v>48</v>
      </c>
      <c r="C9" t="s">
        <v>37</v>
      </c>
      <c r="D9">
        <v>546</v>
      </c>
      <c r="E9">
        <v>818</v>
      </c>
      <c r="F9">
        <v>1</v>
      </c>
      <c r="H9" t="s">
        <v>50</v>
      </c>
      <c r="I9" s="1">
        <v>0.67764705882352938</v>
      </c>
      <c r="J9" s="1">
        <v>0.66694736842105262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181</v>
      </c>
      <c r="S9">
        <v>854</v>
      </c>
      <c r="T9">
        <v>202</v>
      </c>
    </row>
    <row r="10" spans="1:20" x14ac:dyDescent="0.3">
      <c r="A10">
        <v>9</v>
      </c>
      <c r="B10" t="s">
        <v>52</v>
      </c>
      <c r="C10" t="s">
        <v>34</v>
      </c>
      <c r="D10">
        <v>482</v>
      </c>
      <c r="E10">
        <v>0</v>
      </c>
      <c r="F10">
        <v>478</v>
      </c>
      <c r="H10" t="s">
        <v>53</v>
      </c>
      <c r="I10" s="1">
        <v>0.67764705882352938</v>
      </c>
      <c r="J10" s="1">
        <v>0.66694736842105262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597</v>
      </c>
      <c r="S10">
        <v>826</v>
      </c>
      <c r="T10">
        <v>1</v>
      </c>
    </row>
    <row r="11" spans="1:20" x14ac:dyDescent="0.3">
      <c r="A11">
        <v>10</v>
      </c>
      <c r="B11" t="s">
        <v>52</v>
      </c>
      <c r="C11" t="s">
        <v>37</v>
      </c>
      <c r="D11">
        <v>565</v>
      </c>
      <c r="E11">
        <v>714</v>
      </c>
      <c r="F11">
        <v>161</v>
      </c>
      <c r="H11" t="s">
        <v>54</v>
      </c>
      <c r="I11" s="1">
        <v>0.67764705882352938</v>
      </c>
      <c r="J11" s="1">
        <v>0.66694736842105262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858</v>
      </c>
      <c r="S11">
        <v>581</v>
      </c>
      <c r="T11">
        <v>1</v>
      </c>
    </row>
    <row r="12" spans="1:20" x14ac:dyDescent="0.3">
      <c r="A12">
        <v>11</v>
      </c>
      <c r="B12" t="s">
        <v>56</v>
      </c>
      <c r="C12" t="s">
        <v>34</v>
      </c>
      <c r="D12">
        <v>720</v>
      </c>
      <c r="E12">
        <v>0</v>
      </c>
      <c r="F12">
        <v>720</v>
      </c>
      <c r="H12" t="s">
        <v>57</v>
      </c>
      <c r="I12" s="1">
        <v>0.67764705882352938</v>
      </c>
      <c r="J12" s="1">
        <v>0.66694736842105262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659</v>
      </c>
      <c r="S12">
        <v>779</v>
      </c>
      <c r="T12">
        <v>1</v>
      </c>
    </row>
    <row r="13" spans="1:20" x14ac:dyDescent="0.3">
      <c r="A13">
        <v>12</v>
      </c>
      <c r="B13" t="s">
        <v>56</v>
      </c>
      <c r="C13" t="s">
        <v>37</v>
      </c>
      <c r="D13">
        <v>352</v>
      </c>
      <c r="E13">
        <v>580</v>
      </c>
      <c r="F13">
        <v>259</v>
      </c>
      <c r="H13" t="s">
        <v>58</v>
      </c>
      <c r="I13" s="1">
        <v>0.67764705882352938</v>
      </c>
      <c r="J13" s="1">
        <v>0.66694736842105262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529</v>
      </c>
      <c r="S13">
        <v>147</v>
      </c>
      <c r="T13">
        <v>381</v>
      </c>
    </row>
    <row r="14" spans="1:20" x14ac:dyDescent="0.3">
      <c r="A14">
        <v>13</v>
      </c>
      <c r="B14" t="s">
        <v>60</v>
      </c>
      <c r="C14" t="s">
        <v>34</v>
      </c>
      <c r="D14">
        <v>0</v>
      </c>
      <c r="E14">
        <v>0</v>
      </c>
      <c r="F14">
        <v>720</v>
      </c>
      <c r="H14" t="str">
        <f>IF(B2="","",TEXT(B2,"dd/mm")&amp; "-" &amp;IF(UPPER(TRIM(C2))="CN",1,IF(UPPER(TRIM(C2))="CD",2,"")))</f>
        <v>01/06-1</v>
      </c>
      <c r="I14" s="1">
        <v>0.67764705882352938</v>
      </c>
      <c r="J14" s="1">
        <v>0.66694736842105262</v>
      </c>
      <c r="K14" s="1">
        <f t="shared" ref="K14:K45" si="0">IFERROR($E2/SUM($D2:$F2),"")</f>
        <v>0.61420612813370479</v>
      </c>
      <c r="L14" s="1">
        <f t="shared" ref="L14:L45" si="1">IFERROR($D2/SUM($D2:$F2),"")</f>
        <v>0.10445682451253482</v>
      </c>
      <c r="M14" s="1">
        <f t="shared" ref="M14:M45" si="2">IFERROR($F2/SUM($D2:$F2),"")</f>
        <v>0.28133704735376047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720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720</v>
      </c>
      <c r="H15" t="str">
        <f t="shared" ref="H15:H46" si="3">IF(B3="","",TEXT(B3,"dd/mm") &amp; "-" &amp; IF(UPPER(TRIM(C3))="CN",1,IF(UPPER(TRIM(C3))="CD",2,"")))</f>
        <v>01/06-2</v>
      </c>
      <c r="I15" s="1">
        <v>0.67764705882352938</v>
      </c>
      <c r="J15" s="1">
        <v>0.66694736842105262</v>
      </c>
      <c r="K15" s="1">
        <f t="shared" si="0"/>
        <v>0.52361111111111114</v>
      </c>
      <c r="L15" s="1">
        <f t="shared" si="1"/>
        <v>0.47638888888888886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370</v>
      </c>
      <c r="S15">
        <v>653</v>
      </c>
      <c r="T15">
        <v>208</v>
      </c>
    </row>
    <row r="16" spans="1:20" x14ac:dyDescent="0.3">
      <c r="A16">
        <v>15</v>
      </c>
      <c r="B16" t="s">
        <v>62</v>
      </c>
      <c r="C16" t="s">
        <v>34</v>
      </c>
      <c r="D16">
        <v>312</v>
      </c>
      <c r="E16">
        <v>722</v>
      </c>
      <c r="F16">
        <v>203</v>
      </c>
      <c r="H16" t="str">
        <f t="shared" si="3"/>
        <v>02/06-1</v>
      </c>
      <c r="I16" s="1">
        <v>0.67764705882352938</v>
      </c>
      <c r="J16" s="1">
        <v>0.66694736842105262</v>
      </c>
      <c r="K16" s="1">
        <f t="shared" si="0"/>
        <v>0.57777777777777772</v>
      </c>
      <c r="L16" s="1">
        <f t="shared" si="1"/>
        <v>0.42222222222222222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634</v>
      </c>
      <c r="S16">
        <v>805</v>
      </c>
      <c r="T16">
        <v>1</v>
      </c>
    </row>
    <row r="17" spans="1:20" x14ac:dyDescent="0.3">
      <c r="A17">
        <v>16</v>
      </c>
      <c r="B17" t="s">
        <v>62</v>
      </c>
      <c r="C17" t="s">
        <v>37</v>
      </c>
      <c r="D17">
        <v>566</v>
      </c>
      <c r="E17">
        <v>874</v>
      </c>
      <c r="F17">
        <v>1</v>
      </c>
      <c r="H17" t="str">
        <f t="shared" si="3"/>
        <v>02/06-2</v>
      </c>
      <c r="I17" s="1">
        <v>0.67764705882352938</v>
      </c>
      <c r="J17" s="1">
        <v>0.66694736842105262</v>
      </c>
      <c r="K17" s="1">
        <f t="shared" si="0"/>
        <v>0.61613351877607792</v>
      </c>
      <c r="L17" s="1">
        <f t="shared" si="1"/>
        <v>0.38386648122392214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836</v>
      </c>
      <c r="S17">
        <v>602</v>
      </c>
      <c r="T17">
        <v>1</v>
      </c>
    </row>
    <row r="18" spans="1:20" x14ac:dyDescent="0.3">
      <c r="A18">
        <v>17</v>
      </c>
      <c r="B18" t="s">
        <v>64</v>
      </c>
      <c r="C18" t="s">
        <v>34</v>
      </c>
      <c r="D18">
        <v>690</v>
      </c>
      <c r="E18">
        <v>749</v>
      </c>
      <c r="F18">
        <v>1</v>
      </c>
      <c r="H18" t="str">
        <f t="shared" si="3"/>
        <v>03/06-1</v>
      </c>
      <c r="I18" s="1">
        <v>0.67764705882352938</v>
      </c>
      <c r="J18" s="1">
        <v>0.66694736842105262</v>
      </c>
      <c r="K18" s="1">
        <f t="shared" si="0"/>
        <v>0.53055555555555556</v>
      </c>
      <c r="L18" s="1">
        <f t="shared" si="1"/>
        <v>0.46944444444444444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625</v>
      </c>
      <c r="S18">
        <v>815</v>
      </c>
      <c r="T18">
        <v>1</v>
      </c>
    </row>
    <row r="19" spans="1:20" x14ac:dyDescent="0.3">
      <c r="A19">
        <v>18</v>
      </c>
      <c r="B19" t="s">
        <v>64</v>
      </c>
      <c r="C19" t="s">
        <v>37</v>
      </c>
      <c r="D19">
        <v>487</v>
      </c>
      <c r="E19">
        <v>951</v>
      </c>
      <c r="F19">
        <v>1</v>
      </c>
      <c r="H19" t="str">
        <f t="shared" si="3"/>
        <v>03/06-2</v>
      </c>
      <c r="I19" s="1">
        <v>0.67764705882352938</v>
      </c>
      <c r="J19" s="1">
        <v>0.66694736842105262</v>
      </c>
      <c r="K19" s="1">
        <f t="shared" si="0"/>
        <v>0.65090403337969405</v>
      </c>
      <c r="L19" s="1">
        <f t="shared" si="1"/>
        <v>0.34909596662030595</v>
      </c>
      <c r="M19" s="1">
        <f t="shared" si="2"/>
        <v>0</v>
      </c>
      <c r="O19">
        <v>18</v>
      </c>
      <c r="P19" t="s">
        <v>65</v>
      </c>
      <c r="Q19" t="s">
        <v>34</v>
      </c>
      <c r="R19">
        <v>804</v>
      </c>
      <c r="S19">
        <v>632</v>
      </c>
      <c r="T19">
        <v>1</v>
      </c>
    </row>
    <row r="20" spans="1:20" x14ac:dyDescent="0.3">
      <c r="A20">
        <v>19</v>
      </c>
      <c r="B20" t="s">
        <v>66</v>
      </c>
      <c r="C20" t="s">
        <v>34</v>
      </c>
      <c r="D20">
        <v>714</v>
      </c>
      <c r="E20">
        <v>726</v>
      </c>
      <c r="F20">
        <v>1</v>
      </c>
      <c r="H20" t="str">
        <f t="shared" si="3"/>
        <v>04/06-1</v>
      </c>
      <c r="I20" s="1">
        <v>0.67764705882352938</v>
      </c>
      <c r="J20" s="1">
        <v>0.66694736842105262</v>
      </c>
      <c r="K20" s="1">
        <f t="shared" si="0"/>
        <v>0.55972222222222223</v>
      </c>
      <c r="L20" s="1">
        <f t="shared" si="1"/>
        <v>0.44027777777777777</v>
      </c>
      <c r="M20" s="1">
        <f t="shared" si="2"/>
        <v>0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720</v>
      </c>
    </row>
    <row r="21" spans="1:20" x14ac:dyDescent="0.3">
      <c r="A21">
        <v>20</v>
      </c>
      <c r="B21" t="s">
        <v>66</v>
      </c>
      <c r="C21" t="s">
        <v>37</v>
      </c>
      <c r="D21">
        <v>475</v>
      </c>
      <c r="E21">
        <v>964</v>
      </c>
      <c r="F21">
        <v>1</v>
      </c>
      <c r="H21" t="str">
        <f t="shared" si="3"/>
        <v>04/06-2</v>
      </c>
      <c r="I21" s="1">
        <v>0.67764705882352938</v>
      </c>
      <c r="J21" s="1">
        <v>0.66694736842105262</v>
      </c>
      <c r="K21" s="1">
        <f t="shared" si="0"/>
        <v>0.59926739926739925</v>
      </c>
      <c r="L21" s="1">
        <f t="shared" si="1"/>
        <v>0.4</v>
      </c>
      <c r="M21" s="1">
        <f t="shared" si="2"/>
        <v>7.326007326007326E-4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720</v>
      </c>
    </row>
    <row r="22" spans="1:20" x14ac:dyDescent="0.3">
      <c r="A22">
        <v>21</v>
      </c>
      <c r="B22" t="s">
        <v>68</v>
      </c>
      <c r="C22" t="s">
        <v>34</v>
      </c>
      <c r="D22">
        <v>714</v>
      </c>
      <c r="E22">
        <v>725</v>
      </c>
      <c r="F22">
        <v>1</v>
      </c>
      <c r="H22" t="str">
        <f t="shared" si="3"/>
        <v>05/06-1</v>
      </c>
      <c r="I22" s="1">
        <v>0.67764705882352938</v>
      </c>
      <c r="J22" s="1">
        <v>0.66694736842105262</v>
      </c>
      <c r="K22" s="1">
        <f t="shared" si="0"/>
        <v>0</v>
      </c>
      <c r="L22" s="1">
        <f t="shared" si="1"/>
        <v>0.50208333333333333</v>
      </c>
      <c r="M22" s="1">
        <f t="shared" si="2"/>
        <v>0.49791666666666667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720</v>
      </c>
    </row>
    <row r="23" spans="1:20" x14ac:dyDescent="0.3">
      <c r="A23">
        <v>22</v>
      </c>
      <c r="B23" t="s">
        <v>68</v>
      </c>
      <c r="C23" t="s">
        <v>37</v>
      </c>
      <c r="D23">
        <v>549</v>
      </c>
      <c r="E23">
        <v>889</v>
      </c>
      <c r="F23">
        <v>1</v>
      </c>
      <c r="H23" t="str">
        <f t="shared" si="3"/>
        <v>05/06-2</v>
      </c>
      <c r="I23" s="1">
        <v>0.67764705882352938</v>
      </c>
      <c r="J23" s="1">
        <v>0.66694736842105262</v>
      </c>
      <c r="K23" s="1">
        <f t="shared" si="0"/>
        <v>0.49583333333333335</v>
      </c>
      <c r="L23" s="1">
        <f t="shared" si="1"/>
        <v>0.3923611111111111</v>
      </c>
      <c r="M23" s="1">
        <f t="shared" si="2"/>
        <v>0.11180555555555556</v>
      </c>
      <c r="O23">
        <v>22</v>
      </c>
      <c r="P23" t="s">
        <v>69</v>
      </c>
      <c r="Q23" t="s">
        <v>34</v>
      </c>
      <c r="R23">
        <v>303</v>
      </c>
      <c r="S23">
        <v>719</v>
      </c>
      <c r="T23">
        <v>208</v>
      </c>
    </row>
    <row r="24" spans="1:20" x14ac:dyDescent="0.3">
      <c r="A24">
        <v>23</v>
      </c>
      <c r="B24" t="s">
        <v>70</v>
      </c>
      <c r="C24" t="s">
        <v>34</v>
      </c>
      <c r="D24">
        <v>804</v>
      </c>
      <c r="E24">
        <v>636</v>
      </c>
      <c r="F24">
        <v>1</v>
      </c>
      <c r="H24" t="str">
        <f t="shared" si="3"/>
        <v>06/06-1</v>
      </c>
      <c r="I24" s="1">
        <v>0.67764705882352938</v>
      </c>
      <c r="J24" s="1">
        <v>0.66694736842105262</v>
      </c>
      <c r="K24" s="1">
        <f t="shared" si="0"/>
        <v>0</v>
      </c>
      <c r="L24" s="1">
        <f t="shared" si="1"/>
        <v>0.5</v>
      </c>
      <c r="M24" s="1">
        <f t="shared" si="2"/>
        <v>0.5</v>
      </c>
      <c r="O24">
        <v>23</v>
      </c>
      <c r="P24" t="s">
        <v>69</v>
      </c>
      <c r="Q24" t="s">
        <v>37</v>
      </c>
      <c r="R24">
        <v>469</v>
      </c>
      <c r="S24">
        <v>970</v>
      </c>
      <c r="T24">
        <v>1</v>
      </c>
    </row>
    <row r="25" spans="1:20" x14ac:dyDescent="0.3">
      <c r="A25">
        <v>24</v>
      </c>
      <c r="B25" t="s">
        <v>70</v>
      </c>
      <c r="C25" t="s">
        <v>37</v>
      </c>
      <c r="D25">
        <v>605</v>
      </c>
      <c r="E25">
        <v>835</v>
      </c>
      <c r="F25">
        <v>1</v>
      </c>
      <c r="H25" t="str">
        <f t="shared" si="3"/>
        <v>06/06-2</v>
      </c>
      <c r="I25" s="1">
        <v>0.67764705882352938</v>
      </c>
      <c r="J25" s="1">
        <v>0.66694736842105262</v>
      </c>
      <c r="K25" s="1">
        <f t="shared" si="0"/>
        <v>0.48698572628043663</v>
      </c>
      <c r="L25" s="1">
        <f t="shared" si="1"/>
        <v>0.29554995801847189</v>
      </c>
      <c r="M25" s="1">
        <f t="shared" si="2"/>
        <v>0.21746431570109151</v>
      </c>
      <c r="O25">
        <v>24</v>
      </c>
      <c r="P25" t="s">
        <v>71</v>
      </c>
      <c r="Q25" t="s">
        <v>34</v>
      </c>
      <c r="R25">
        <v>716</v>
      </c>
      <c r="S25">
        <v>722</v>
      </c>
      <c r="T25">
        <v>1</v>
      </c>
    </row>
    <row r="26" spans="1:20" x14ac:dyDescent="0.3">
      <c r="A26">
        <v>25</v>
      </c>
      <c r="B26" t="s">
        <v>72</v>
      </c>
      <c r="C26" t="s">
        <v>34</v>
      </c>
      <c r="D26">
        <v>1440</v>
      </c>
      <c r="E26">
        <v>0</v>
      </c>
      <c r="F26">
        <v>0</v>
      </c>
      <c r="H26" t="str">
        <f t="shared" si="3"/>
        <v>07/06-1</v>
      </c>
      <c r="I26" s="1">
        <v>0.67764705882352938</v>
      </c>
      <c r="J26" s="1">
        <v>0.66694736842105262</v>
      </c>
      <c r="K26" s="1">
        <f t="shared" si="0"/>
        <v>0</v>
      </c>
      <c r="L26" s="1">
        <f t="shared" si="1"/>
        <v>0</v>
      </c>
      <c r="M26" s="1">
        <f t="shared" si="2"/>
        <v>1</v>
      </c>
      <c r="O26">
        <v>25</v>
      </c>
      <c r="P26" t="s">
        <v>71</v>
      </c>
      <c r="Q26" t="s">
        <v>37</v>
      </c>
      <c r="R26">
        <v>675</v>
      </c>
      <c r="S26">
        <v>764</v>
      </c>
      <c r="T26">
        <v>1</v>
      </c>
    </row>
    <row r="27" spans="1:20" x14ac:dyDescent="0.3">
      <c r="H27" t="str">
        <f t="shared" si="3"/>
        <v>07/06-2</v>
      </c>
      <c r="I27" s="1">
        <v>0.67764705882352938</v>
      </c>
      <c r="J27" s="1">
        <v>0.66694736842105262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743</v>
      </c>
      <c r="S27">
        <v>695</v>
      </c>
      <c r="T27">
        <v>1</v>
      </c>
    </row>
    <row r="28" spans="1:20" x14ac:dyDescent="0.3">
      <c r="H28" t="str">
        <f t="shared" si="3"/>
        <v>08/06-1</v>
      </c>
      <c r="I28" s="1">
        <v>0.67764705882352938</v>
      </c>
      <c r="J28" s="1">
        <v>0.66694736842105262</v>
      </c>
      <c r="K28" s="1">
        <f t="shared" si="0"/>
        <v>0.58367016976556185</v>
      </c>
      <c r="L28" s="1">
        <f t="shared" si="1"/>
        <v>0.25222312045270817</v>
      </c>
      <c r="M28" s="1">
        <f t="shared" si="2"/>
        <v>0.16410670978173</v>
      </c>
      <c r="O28">
        <v>27</v>
      </c>
      <c r="P28" t="s">
        <v>73</v>
      </c>
      <c r="Q28" t="s">
        <v>37</v>
      </c>
      <c r="R28">
        <v>548</v>
      </c>
      <c r="S28">
        <v>892</v>
      </c>
      <c r="T28">
        <v>1</v>
      </c>
    </row>
    <row r="29" spans="1:20" x14ac:dyDescent="0.3">
      <c r="H29" t="str">
        <f t="shared" si="3"/>
        <v>08/06-2</v>
      </c>
      <c r="I29" s="1">
        <v>0.67764705882352938</v>
      </c>
      <c r="J29" s="1">
        <v>0.66694736842105262</v>
      </c>
      <c r="K29" s="1">
        <f t="shared" si="0"/>
        <v>0.60652324774462174</v>
      </c>
      <c r="L29" s="1">
        <f t="shared" si="1"/>
        <v>0.3927827897293546</v>
      </c>
      <c r="M29" s="1">
        <f t="shared" si="2"/>
        <v>6.939625260235947E-4</v>
      </c>
      <c r="O29">
        <v>28</v>
      </c>
      <c r="P29" t="s">
        <v>74</v>
      </c>
      <c r="Q29" t="s">
        <v>34</v>
      </c>
      <c r="R29">
        <v>719</v>
      </c>
      <c r="S29">
        <v>720</v>
      </c>
      <c r="T29">
        <v>1</v>
      </c>
    </row>
    <row r="30" spans="1:20" x14ac:dyDescent="0.3">
      <c r="H30" t="str">
        <f t="shared" si="3"/>
        <v>09/06-1</v>
      </c>
      <c r="I30" s="1">
        <v>0.67764705882352938</v>
      </c>
      <c r="J30" s="1">
        <v>0.66694736842105262</v>
      </c>
      <c r="K30" s="1">
        <f t="shared" si="0"/>
        <v>0.52013888888888893</v>
      </c>
      <c r="L30" s="1">
        <f t="shared" si="1"/>
        <v>0.47916666666666669</v>
      </c>
      <c r="M30" s="1">
        <f t="shared" si="2"/>
        <v>6.9444444444444447E-4</v>
      </c>
      <c r="O30">
        <v>29</v>
      </c>
      <c r="P30" t="s">
        <v>74</v>
      </c>
      <c r="Q30" t="s">
        <v>37</v>
      </c>
      <c r="R30">
        <v>581</v>
      </c>
      <c r="S30">
        <v>858</v>
      </c>
      <c r="T30">
        <v>1</v>
      </c>
    </row>
    <row r="31" spans="1:20" x14ac:dyDescent="0.3">
      <c r="H31" t="str">
        <f t="shared" si="3"/>
        <v>09/06-2</v>
      </c>
      <c r="I31" s="1">
        <v>0.67764705882352938</v>
      </c>
      <c r="J31" s="1">
        <v>0.66694736842105262</v>
      </c>
      <c r="K31" s="1">
        <f t="shared" si="0"/>
        <v>0.66087560806115353</v>
      </c>
      <c r="L31" s="1">
        <f t="shared" si="1"/>
        <v>0.33842946490618486</v>
      </c>
      <c r="M31" s="1">
        <f t="shared" si="2"/>
        <v>6.9492703266157052E-4</v>
      </c>
      <c r="O31">
        <v>30</v>
      </c>
      <c r="P31" t="s">
        <v>75</v>
      </c>
      <c r="Q31" t="s">
        <v>34</v>
      </c>
      <c r="R31">
        <v>738</v>
      </c>
      <c r="S31">
        <v>701</v>
      </c>
      <c r="T31">
        <v>1</v>
      </c>
    </row>
    <row r="32" spans="1:20" x14ac:dyDescent="0.3">
      <c r="H32" t="str">
        <f t="shared" si="3"/>
        <v>10/06-1</v>
      </c>
      <c r="I32" s="1">
        <v>0.67764705882352938</v>
      </c>
      <c r="J32" s="1">
        <v>0.66694736842105262</v>
      </c>
      <c r="K32" s="1">
        <f t="shared" si="0"/>
        <v>0.50381679389312972</v>
      </c>
      <c r="L32" s="1">
        <f t="shared" si="1"/>
        <v>0.49548924358084662</v>
      </c>
      <c r="M32" s="1">
        <f t="shared" si="2"/>
        <v>6.939625260235947E-4</v>
      </c>
      <c r="O32">
        <v>31</v>
      </c>
      <c r="P32" t="s">
        <v>75</v>
      </c>
      <c r="Q32" t="s">
        <v>37</v>
      </c>
      <c r="R32">
        <v>611</v>
      </c>
      <c r="S32">
        <v>828</v>
      </c>
      <c r="T32">
        <v>1</v>
      </c>
    </row>
    <row r="33" spans="8:20" x14ac:dyDescent="0.3">
      <c r="H33" t="str">
        <f t="shared" si="3"/>
        <v>10/06-2</v>
      </c>
      <c r="I33" s="1">
        <v>0.67764705882352938</v>
      </c>
      <c r="J33" s="1">
        <v>0.66694736842105262</v>
      </c>
      <c r="K33" s="1">
        <f t="shared" si="0"/>
        <v>0.6694444444444444</v>
      </c>
      <c r="L33" s="1">
        <f t="shared" si="1"/>
        <v>0.3298611111111111</v>
      </c>
      <c r="M33" s="1">
        <f t="shared" si="2"/>
        <v>6.9444444444444447E-4</v>
      </c>
      <c r="O33">
        <v>32</v>
      </c>
      <c r="P33" t="s">
        <v>76</v>
      </c>
      <c r="Q33" t="s">
        <v>34</v>
      </c>
      <c r="R33">
        <v>774</v>
      </c>
      <c r="S33">
        <v>665</v>
      </c>
      <c r="T33">
        <v>1</v>
      </c>
    </row>
    <row r="34" spans="8:20" x14ac:dyDescent="0.3">
      <c r="H34" t="str">
        <f t="shared" si="3"/>
        <v>11/06-1</v>
      </c>
      <c r="I34" s="1">
        <v>0.67764705882352938</v>
      </c>
      <c r="J34" s="1">
        <v>0.66694736842105262</v>
      </c>
      <c r="K34" s="1">
        <f t="shared" si="0"/>
        <v>0.50347222222222221</v>
      </c>
      <c r="L34" s="1">
        <f t="shared" si="1"/>
        <v>0.49583333333333335</v>
      </c>
      <c r="M34" s="1">
        <f t="shared" si="2"/>
        <v>6.9444444444444447E-4</v>
      </c>
      <c r="O34">
        <v>33</v>
      </c>
      <c r="P34" t="s">
        <v>76</v>
      </c>
      <c r="Q34" t="s">
        <v>37</v>
      </c>
      <c r="R34">
        <v>206</v>
      </c>
      <c r="S34">
        <v>747</v>
      </c>
      <c r="T34">
        <v>242</v>
      </c>
    </row>
    <row r="35" spans="8:20" x14ac:dyDescent="0.3">
      <c r="H35" t="str">
        <f t="shared" si="3"/>
        <v>11/06-2</v>
      </c>
      <c r="I35" s="1">
        <v>0.67764705882352938</v>
      </c>
      <c r="J35" s="1">
        <v>0.66694736842105262</v>
      </c>
      <c r="K35" s="1">
        <f t="shared" si="0"/>
        <v>0.6177901320361362</v>
      </c>
      <c r="L35" s="1">
        <f t="shared" si="1"/>
        <v>0.38151494093120225</v>
      </c>
      <c r="M35" s="1">
        <f t="shared" si="2"/>
        <v>6.9492703266157052E-4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720</v>
      </c>
    </row>
    <row r="36" spans="8:20" x14ac:dyDescent="0.3">
      <c r="H36" t="str">
        <f t="shared" si="3"/>
        <v>12/06-1</v>
      </c>
      <c r="I36" s="1">
        <v>0.67764705882352938</v>
      </c>
      <c r="J36" s="1">
        <v>0.66694736842105262</v>
      </c>
      <c r="K36" s="1">
        <f t="shared" si="0"/>
        <v>0.44136016655100624</v>
      </c>
      <c r="L36" s="1">
        <f t="shared" si="1"/>
        <v>0.55794587092297021</v>
      </c>
      <c r="M36" s="1">
        <f t="shared" si="2"/>
        <v>6.939625260235947E-4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720</v>
      </c>
    </row>
    <row r="37" spans="8:20" x14ac:dyDescent="0.3">
      <c r="H37" t="str">
        <f t="shared" si="3"/>
        <v>12/06-2</v>
      </c>
      <c r="I37" s="1">
        <v>0.67764705882352938</v>
      </c>
      <c r="J37" s="1">
        <v>0.66694736842105262</v>
      </c>
      <c r="K37" s="1">
        <f t="shared" si="0"/>
        <v>0.57945870922970155</v>
      </c>
      <c r="L37" s="1">
        <f t="shared" si="1"/>
        <v>0.41984732824427479</v>
      </c>
      <c r="M37" s="1">
        <f t="shared" si="2"/>
        <v>6.939625260235947E-4</v>
      </c>
      <c r="O37">
        <v>36</v>
      </c>
      <c r="P37" t="s">
        <v>78</v>
      </c>
      <c r="Q37" t="s">
        <v>34</v>
      </c>
      <c r="R37">
        <v>300</v>
      </c>
      <c r="S37">
        <v>720</v>
      </c>
      <c r="T37">
        <v>211</v>
      </c>
    </row>
    <row r="38" spans="8:20" x14ac:dyDescent="0.3">
      <c r="H38" t="str">
        <f t="shared" si="3"/>
        <v>13/06-1</v>
      </c>
      <c r="I38" s="1">
        <v>0.67764705882352938</v>
      </c>
      <c r="J38" s="1">
        <v>0.66694736842105262</v>
      </c>
      <c r="K38" s="1">
        <f t="shared" si="0"/>
        <v>0</v>
      </c>
      <c r="L38" s="1">
        <f t="shared" si="1"/>
        <v>1</v>
      </c>
      <c r="M38" s="1">
        <f t="shared" si="2"/>
        <v>0</v>
      </c>
      <c r="O38">
        <v>37</v>
      </c>
      <c r="P38" t="s">
        <v>78</v>
      </c>
      <c r="Q38" t="s">
        <v>37</v>
      </c>
      <c r="R38">
        <v>569</v>
      </c>
      <c r="S38">
        <v>870</v>
      </c>
      <c r="T38">
        <v>1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660</v>
      </c>
      <c r="S39">
        <v>779</v>
      </c>
      <c r="T39">
        <v>1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585</v>
      </c>
      <c r="S40">
        <v>854</v>
      </c>
      <c r="T40">
        <v>1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691</v>
      </c>
      <c r="S41">
        <v>748</v>
      </c>
      <c r="T41">
        <v>1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635</v>
      </c>
      <c r="S42">
        <v>803</v>
      </c>
      <c r="T42">
        <v>1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791</v>
      </c>
      <c r="S43">
        <v>649</v>
      </c>
      <c r="T43">
        <v>1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613</v>
      </c>
      <c r="S44">
        <v>827</v>
      </c>
      <c r="T44">
        <v>1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630</v>
      </c>
      <c r="S45">
        <v>810</v>
      </c>
      <c r="T45">
        <v>1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505</v>
      </c>
      <c r="S46">
        <v>933</v>
      </c>
      <c r="T46">
        <v>1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753</v>
      </c>
      <c r="S47">
        <v>685</v>
      </c>
      <c r="T47">
        <v>1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238</v>
      </c>
      <c r="S48">
        <v>712</v>
      </c>
      <c r="T48">
        <v>245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0</v>
      </c>
      <c r="S49">
        <v>0</v>
      </c>
      <c r="T49">
        <v>720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720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259</v>
      </c>
      <c r="S51">
        <v>759</v>
      </c>
      <c r="T51">
        <v>211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452</v>
      </c>
      <c r="S52">
        <v>988</v>
      </c>
      <c r="T52">
        <v>1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759</v>
      </c>
      <c r="S53">
        <v>681</v>
      </c>
      <c r="T53">
        <v>1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538</v>
      </c>
      <c r="S54">
        <v>901</v>
      </c>
      <c r="T54">
        <v>1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656</v>
      </c>
      <c r="S55">
        <v>784</v>
      </c>
      <c r="T55">
        <v>1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645</v>
      </c>
      <c r="S56">
        <v>794</v>
      </c>
      <c r="T56">
        <v>1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774</v>
      </c>
      <c r="S57">
        <v>666</v>
      </c>
      <c r="T57">
        <v>1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486</v>
      </c>
      <c r="S58">
        <v>952</v>
      </c>
      <c r="T58">
        <v>1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735</v>
      </c>
      <c r="S59">
        <v>705</v>
      </c>
      <c r="T59">
        <v>1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620</v>
      </c>
      <c r="S60">
        <v>818</v>
      </c>
      <c r="T60">
        <v>1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807</v>
      </c>
      <c r="S61">
        <v>632</v>
      </c>
      <c r="T61">
        <v>1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277</v>
      </c>
      <c r="S62">
        <v>671</v>
      </c>
      <c r="T62">
        <v>245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720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720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219</v>
      </c>
      <c r="S65">
        <v>807</v>
      </c>
      <c r="T65">
        <v>207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609</v>
      </c>
      <c r="S66">
        <v>831</v>
      </c>
      <c r="T66">
        <v>1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815</v>
      </c>
      <c r="S67">
        <v>625</v>
      </c>
      <c r="T67">
        <v>1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500</v>
      </c>
      <c r="S68">
        <v>940</v>
      </c>
      <c r="T68">
        <v>1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548</v>
      </c>
      <c r="S69">
        <v>891</v>
      </c>
      <c r="T69">
        <v>1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531</v>
      </c>
      <c r="S70">
        <v>907</v>
      </c>
      <c r="T70">
        <v>1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706</v>
      </c>
      <c r="S71">
        <v>733</v>
      </c>
      <c r="T71">
        <v>1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563</v>
      </c>
      <c r="S72">
        <v>876</v>
      </c>
      <c r="T72">
        <v>1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737</v>
      </c>
      <c r="S73">
        <v>703</v>
      </c>
      <c r="T73">
        <v>1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636</v>
      </c>
      <c r="S74">
        <v>804</v>
      </c>
      <c r="T74">
        <v>1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785</v>
      </c>
      <c r="S75">
        <v>653</v>
      </c>
      <c r="T75">
        <v>1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295</v>
      </c>
      <c r="S76">
        <v>648</v>
      </c>
      <c r="T76">
        <v>246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720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720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209</v>
      </c>
      <c r="S79">
        <v>817</v>
      </c>
      <c r="T79">
        <v>207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457</v>
      </c>
      <c r="S80">
        <v>982</v>
      </c>
      <c r="T80">
        <v>1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642</v>
      </c>
      <c r="S81">
        <v>797</v>
      </c>
      <c r="T81">
        <v>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564</v>
      </c>
      <c r="S82">
        <v>876</v>
      </c>
      <c r="T82">
        <v>1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715</v>
      </c>
      <c r="S83">
        <v>724</v>
      </c>
      <c r="T83">
        <v>1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589</v>
      </c>
      <c r="S84">
        <v>851</v>
      </c>
      <c r="T84">
        <v>1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662</v>
      </c>
      <c r="S85">
        <v>776</v>
      </c>
      <c r="T85">
        <v>1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647</v>
      </c>
      <c r="S86">
        <v>792</v>
      </c>
      <c r="T86">
        <v>1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1004</v>
      </c>
      <c r="S87">
        <v>436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474</v>
      </c>
      <c r="S88">
        <v>294</v>
      </c>
      <c r="T88">
        <v>330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720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720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720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720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720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720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720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720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720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720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720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720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720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720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720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720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720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720</v>
      </c>
    </row>
    <row r="107" spans="9:20" x14ac:dyDescent="0.3">
      <c r="O107">
        <v>106</v>
      </c>
      <c r="P107" t="s">
        <v>113</v>
      </c>
      <c r="Q107" t="s">
        <v>34</v>
      </c>
      <c r="R107">
        <v>362</v>
      </c>
      <c r="S107">
        <v>650</v>
      </c>
      <c r="T107">
        <v>214</v>
      </c>
    </row>
    <row r="108" spans="9:20" x14ac:dyDescent="0.3">
      <c r="O108">
        <v>107</v>
      </c>
      <c r="P108" t="s">
        <v>113</v>
      </c>
      <c r="Q108" t="s">
        <v>37</v>
      </c>
      <c r="R108">
        <v>740</v>
      </c>
      <c r="S108">
        <v>699</v>
      </c>
      <c r="T108">
        <v>1</v>
      </c>
    </row>
    <row r="109" spans="9:20" x14ac:dyDescent="0.3">
      <c r="O109">
        <v>108</v>
      </c>
      <c r="P109" t="s">
        <v>114</v>
      </c>
      <c r="Q109" t="s">
        <v>34</v>
      </c>
      <c r="R109">
        <v>750</v>
      </c>
      <c r="S109">
        <v>689</v>
      </c>
      <c r="T109">
        <v>1</v>
      </c>
    </row>
    <row r="110" spans="9:20" x14ac:dyDescent="0.3">
      <c r="O110">
        <v>109</v>
      </c>
      <c r="P110" t="s">
        <v>114</v>
      </c>
      <c r="Q110" t="s">
        <v>37</v>
      </c>
      <c r="R110">
        <v>489</v>
      </c>
      <c r="S110">
        <v>950</v>
      </c>
      <c r="T110">
        <v>1</v>
      </c>
    </row>
    <row r="111" spans="9:20" x14ac:dyDescent="0.3">
      <c r="O111">
        <v>110</v>
      </c>
      <c r="P111" t="s">
        <v>115</v>
      </c>
      <c r="Q111" t="s">
        <v>34</v>
      </c>
      <c r="R111">
        <v>652</v>
      </c>
      <c r="S111">
        <v>788</v>
      </c>
      <c r="T111">
        <v>1</v>
      </c>
    </row>
    <row r="112" spans="9:20" x14ac:dyDescent="0.3">
      <c r="O112">
        <v>111</v>
      </c>
      <c r="P112" t="s">
        <v>115</v>
      </c>
      <c r="Q112" t="s">
        <v>37</v>
      </c>
      <c r="R112">
        <v>473</v>
      </c>
      <c r="S112">
        <v>966</v>
      </c>
      <c r="T112">
        <v>1</v>
      </c>
    </row>
    <row r="113" spans="15:20" x14ac:dyDescent="0.3">
      <c r="O113">
        <v>112</v>
      </c>
      <c r="P113" t="s">
        <v>116</v>
      </c>
      <c r="Q113" t="s">
        <v>34</v>
      </c>
      <c r="R113">
        <v>679</v>
      </c>
      <c r="S113">
        <v>757</v>
      </c>
      <c r="T113">
        <v>1</v>
      </c>
    </row>
    <row r="114" spans="15:20" x14ac:dyDescent="0.3">
      <c r="O114">
        <v>113</v>
      </c>
      <c r="P114" t="s">
        <v>116</v>
      </c>
      <c r="Q114" t="s">
        <v>37</v>
      </c>
      <c r="R114">
        <v>533</v>
      </c>
      <c r="S114">
        <v>906</v>
      </c>
      <c r="T114">
        <v>1</v>
      </c>
    </row>
    <row r="115" spans="15:20" x14ac:dyDescent="0.3">
      <c r="O115">
        <v>114</v>
      </c>
      <c r="P115" t="s">
        <v>117</v>
      </c>
      <c r="Q115" t="s">
        <v>34</v>
      </c>
      <c r="R115">
        <v>666</v>
      </c>
      <c r="S115">
        <v>773</v>
      </c>
      <c r="T115">
        <v>1</v>
      </c>
    </row>
    <row r="116" spans="15:20" x14ac:dyDescent="0.3">
      <c r="O116">
        <v>115</v>
      </c>
      <c r="P116" t="s">
        <v>117</v>
      </c>
      <c r="Q116" t="s">
        <v>37</v>
      </c>
      <c r="R116">
        <v>474</v>
      </c>
      <c r="S116">
        <v>965</v>
      </c>
      <c r="T116">
        <v>1</v>
      </c>
    </row>
    <row r="117" spans="15:20" x14ac:dyDescent="0.3">
      <c r="O117">
        <v>116</v>
      </c>
      <c r="P117" t="s">
        <v>118</v>
      </c>
      <c r="Q117" t="s">
        <v>34</v>
      </c>
      <c r="R117">
        <v>592</v>
      </c>
      <c r="S117">
        <v>847</v>
      </c>
      <c r="T117">
        <v>1</v>
      </c>
    </row>
    <row r="118" spans="15:20" x14ac:dyDescent="0.3">
      <c r="O118">
        <v>117</v>
      </c>
      <c r="P118" t="s">
        <v>118</v>
      </c>
      <c r="Q118" t="s">
        <v>37</v>
      </c>
      <c r="R118">
        <v>278</v>
      </c>
      <c r="S118">
        <v>670</v>
      </c>
      <c r="T118">
        <v>246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655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720</v>
      </c>
    </row>
    <row r="121" spans="15:20" x14ac:dyDescent="0.3">
      <c r="O121">
        <v>120</v>
      </c>
      <c r="P121" t="s">
        <v>120</v>
      </c>
      <c r="Q121" t="s">
        <v>34</v>
      </c>
      <c r="R121">
        <v>218</v>
      </c>
      <c r="S121">
        <v>808</v>
      </c>
      <c r="T121">
        <v>208</v>
      </c>
    </row>
    <row r="122" spans="15:20" x14ac:dyDescent="0.3">
      <c r="O122">
        <v>121</v>
      </c>
      <c r="P122" t="s">
        <v>120</v>
      </c>
      <c r="Q122" t="s">
        <v>37</v>
      </c>
      <c r="R122">
        <v>571</v>
      </c>
      <c r="S122">
        <v>867</v>
      </c>
      <c r="T122">
        <v>1</v>
      </c>
    </row>
    <row r="123" spans="15:20" x14ac:dyDescent="0.3">
      <c r="O123">
        <v>122</v>
      </c>
      <c r="P123" t="s">
        <v>121</v>
      </c>
      <c r="Q123" t="s">
        <v>34</v>
      </c>
      <c r="R123">
        <v>605</v>
      </c>
      <c r="S123">
        <v>834</v>
      </c>
      <c r="T123">
        <v>1</v>
      </c>
    </row>
    <row r="124" spans="15:20" x14ac:dyDescent="0.3">
      <c r="O124">
        <v>123</v>
      </c>
      <c r="P124" t="s">
        <v>121</v>
      </c>
      <c r="Q124" t="s">
        <v>37</v>
      </c>
      <c r="R124">
        <v>651</v>
      </c>
      <c r="S124">
        <v>788</v>
      </c>
      <c r="T124">
        <v>1</v>
      </c>
    </row>
    <row r="125" spans="15:20" x14ac:dyDescent="0.3">
      <c r="O125">
        <v>124</v>
      </c>
      <c r="P125" t="s">
        <v>122</v>
      </c>
      <c r="Q125" t="s">
        <v>34</v>
      </c>
      <c r="R125">
        <v>620</v>
      </c>
      <c r="S125">
        <v>818</v>
      </c>
      <c r="T125">
        <v>1</v>
      </c>
    </row>
    <row r="126" spans="15:20" x14ac:dyDescent="0.3">
      <c r="O126">
        <v>125</v>
      </c>
      <c r="P126" t="s">
        <v>122</v>
      </c>
      <c r="Q126" t="s">
        <v>37</v>
      </c>
      <c r="R126">
        <v>535</v>
      </c>
      <c r="S126">
        <v>903</v>
      </c>
      <c r="T126">
        <v>1</v>
      </c>
    </row>
    <row r="127" spans="15:20" x14ac:dyDescent="0.3">
      <c r="O127">
        <v>126</v>
      </c>
      <c r="P127" t="s">
        <v>123</v>
      </c>
      <c r="Q127" t="s">
        <v>34</v>
      </c>
      <c r="R127">
        <v>599</v>
      </c>
      <c r="S127">
        <v>839</v>
      </c>
      <c r="T127">
        <v>1</v>
      </c>
    </row>
    <row r="128" spans="15:20" x14ac:dyDescent="0.3">
      <c r="O128">
        <v>127</v>
      </c>
      <c r="P128" t="s">
        <v>123</v>
      </c>
      <c r="Q128" t="s">
        <v>37</v>
      </c>
      <c r="R128">
        <v>159</v>
      </c>
      <c r="S128">
        <v>9</v>
      </c>
      <c r="T128">
        <v>635</v>
      </c>
    </row>
    <row r="129" spans="15:20" x14ac:dyDescent="0.3">
      <c r="O129">
        <v>128</v>
      </c>
      <c r="P129" t="s">
        <v>124</v>
      </c>
      <c r="Q129" t="s">
        <v>34</v>
      </c>
      <c r="R129">
        <v>214</v>
      </c>
      <c r="S129">
        <v>782</v>
      </c>
      <c r="T129">
        <v>221</v>
      </c>
    </row>
    <row r="130" spans="15:20" x14ac:dyDescent="0.3">
      <c r="O130">
        <v>129</v>
      </c>
      <c r="P130" t="s">
        <v>124</v>
      </c>
      <c r="Q130" t="s">
        <v>37</v>
      </c>
      <c r="R130">
        <v>324</v>
      </c>
      <c r="S130">
        <v>3</v>
      </c>
      <c r="T130">
        <v>709</v>
      </c>
    </row>
    <row r="131" spans="15:20" x14ac:dyDescent="0.3">
      <c r="O131">
        <v>130</v>
      </c>
      <c r="P131" t="s">
        <v>125</v>
      </c>
      <c r="Q131" t="s">
        <v>34</v>
      </c>
      <c r="R131">
        <v>0</v>
      </c>
      <c r="S131">
        <v>0</v>
      </c>
      <c r="T131">
        <v>720</v>
      </c>
    </row>
    <row r="132" spans="15:20" x14ac:dyDescent="0.3">
      <c r="O132">
        <v>131</v>
      </c>
      <c r="P132" t="s">
        <v>125</v>
      </c>
      <c r="Q132" t="s">
        <v>37</v>
      </c>
      <c r="R132">
        <v>0</v>
      </c>
      <c r="S132">
        <v>0</v>
      </c>
      <c r="T132">
        <v>720</v>
      </c>
    </row>
    <row r="133" spans="15:20" x14ac:dyDescent="0.3">
      <c r="O133">
        <v>132</v>
      </c>
      <c r="P133" t="s">
        <v>126</v>
      </c>
      <c r="Q133" t="s">
        <v>34</v>
      </c>
      <c r="R133">
        <v>0</v>
      </c>
      <c r="S133">
        <v>0</v>
      </c>
      <c r="T133">
        <v>720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720</v>
      </c>
    </row>
    <row r="135" spans="15:20" x14ac:dyDescent="0.3">
      <c r="O135">
        <v>134</v>
      </c>
      <c r="P135" t="s">
        <v>127</v>
      </c>
      <c r="Q135" t="s">
        <v>34</v>
      </c>
      <c r="R135">
        <v>331</v>
      </c>
      <c r="S135">
        <v>696</v>
      </c>
      <c r="T135">
        <v>207</v>
      </c>
    </row>
    <row r="136" spans="15:20" x14ac:dyDescent="0.3">
      <c r="O136">
        <v>135</v>
      </c>
      <c r="P136" t="s">
        <v>127</v>
      </c>
      <c r="Q136" t="s">
        <v>37</v>
      </c>
      <c r="R136">
        <v>670</v>
      </c>
      <c r="S136">
        <v>769</v>
      </c>
      <c r="T136">
        <v>1</v>
      </c>
    </row>
    <row r="137" spans="15:20" x14ac:dyDescent="0.3">
      <c r="O137">
        <v>136</v>
      </c>
      <c r="P137" t="s">
        <v>128</v>
      </c>
      <c r="Q137" t="s">
        <v>34</v>
      </c>
      <c r="R137">
        <v>647</v>
      </c>
      <c r="S137">
        <v>791</v>
      </c>
      <c r="T137">
        <v>1</v>
      </c>
    </row>
    <row r="138" spans="15:20" x14ac:dyDescent="0.3">
      <c r="O138">
        <v>137</v>
      </c>
      <c r="P138" t="s">
        <v>128</v>
      </c>
      <c r="Q138" t="s">
        <v>37</v>
      </c>
      <c r="R138">
        <v>628</v>
      </c>
      <c r="S138">
        <v>812</v>
      </c>
      <c r="T138">
        <v>1</v>
      </c>
    </row>
    <row r="139" spans="15:20" x14ac:dyDescent="0.3">
      <c r="O139">
        <v>138</v>
      </c>
      <c r="P139" t="s">
        <v>129</v>
      </c>
      <c r="Q139" t="s">
        <v>34</v>
      </c>
      <c r="R139">
        <v>717</v>
      </c>
      <c r="S139">
        <v>722</v>
      </c>
      <c r="T139">
        <v>1</v>
      </c>
    </row>
    <row r="140" spans="15:20" x14ac:dyDescent="0.3">
      <c r="O140">
        <v>139</v>
      </c>
      <c r="P140" t="s">
        <v>129</v>
      </c>
      <c r="Q140" t="s">
        <v>37</v>
      </c>
      <c r="R140">
        <v>447</v>
      </c>
      <c r="S140">
        <v>991</v>
      </c>
      <c r="T140">
        <v>1</v>
      </c>
    </row>
    <row r="141" spans="15:20" x14ac:dyDescent="0.3">
      <c r="O141">
        <v>140</v>
      </c>
      <c r="P141" t="s">
        <v>130</v>
      </c>
      <c r="Q141" t="s">
        <v>34</v>
      </c>
      <c r="R141">
        <v>481</v>
      </c>
      <c r="S141">
        <v>8</v>
      </c>
      <c r="T141">
        <v>474</v>
      </c>
    </row>
    <row r="142" spans="15:20" x14ac:dyDescent="0.3">
      <c r="O142">
        <v>141</v>
      </c>
      <c r="P142" t="s">
        <v>130</v>
      </c>
      <c r="Q142" t="s">
        <v>37</v>
      </c>
      <c r="R142">
        <v>599</v>
      </c>
      <c r="S142">
        <v>825</v>
      </c>
      <c r="T142">
        <v>3</v>
      </c>
    </row>
    <row r="143" spans="15:20" x14ac:dyDescent="0.3">
      <c r="O143">
        <v>142</v>
      </c>
      <c r="P143" t="s">
        <v>131</v>
      </c>
      <c r="Q143" t="s">
        <v>34</v>
      </c>
      <c r="R143">
        <v>1440</v>
      </c>
      <c r="S143">
        <v>0</v>
      </c>
      <c r="T143">
        <v>0</v>
      </c>
    </row>
    <row r="144" spans="15:20" x14ac:dyDescent="0.3">
      <c r="O144">
        <v>143</v>
      </c>
      <c r="P144" t="s">
        <v>131</v>
      </c>
      <c r="Q144" t="s">
        <v>37</v>
      </c>
      <c r="R144">
        <v>400</v>
      </c>
      <c r="S144">
        <v>884</v>
      </c>
      <c r="T144">
        <v>155</v>
      </c>
    </row>
    <row r="145" spans="15:20" x14ac:dyDescent="0.3">
      <c r="O145">
        <v>144</v>
      </c>
      <c r="P145" t="s">
        <v>132</v>
      </c>
      <c r="Q145" t="s">
        <v>34</v>
      </c>
      <c r="R145">
        <v>326</v>
      </c>
      <c r="S145">
        <v>0</v>
      </c>
      <c r="T145">
        <v>720</v>
      </c>
    </row>
    <row r="146" spans="15:20" x14ac:dyDescent="0.3">
      <c r="O146">
        <v>145</v>
      </c>
      <c r="P146" t="s">
        <v>132</v>
      </c>
      <c r="Q146" t="s">
        <v>37</v>
      </c>
      <c r="R146">
        <v>0</v>
      </c>
      <c r="S146">
        <v>0</v>
      </c>
      <c r="T146">
        <v>720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720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720</v>
      </c>
    </row>
    <row r="149" spans="15:20" x14ac:dyDescent="0.3">
      <c r="O149">
        <v>148</v>
      </c>
      <c r="P149" t="s">
        <v>134</v>
      </c>
      <c r="Q149" t="s">
        <v>34</v>
      </c>
      <c r="R149">
        <v>384</v>
      </c>
      <c r="S149">
        <v>639</v>
      </c>
      <c r="T149">
        <v>208</v>
      </c>
    </row>
    <row r="150" spans="15:20" x14ac:dyDescent="0.3">
      <c r="O150">
        <v>149</v>
      </c>
      <c r="P150" t="s">
        <v>134</v>
      </c>
      <c r="Q150" t="s">
        <v>37</v>
      </c>
      <c r="R150">
        <v>679</v>
      </c>
      <c r="S150">
        <v>759</v>
      </c>
      <c r="T150">
        <v>1</v>
      </c>
    </row>
    <row r="151" spans="15:20" x14ac:dyDescent="0.3">
      <c r="O151">
        <v>150</v>
      </c>
      <c r="P151" t="s">
        <v>135</v>
      </c>
      <c r="Q151" t="s">
        <v>34</v>
      </c>
      <c r="R151">
        <v>478</v>
      </c>
      <c r="S151">
        <v>18</v>
      </c>
      <c r="T151">
        <v>471</v>
      </c>
    </row>
    <row r="152" spans="15:20" x14ac:dyDescent="0.3">
      <c r="O152">
        <v>151</v>
      </c>
      <c r="P152" t="s">
        <v>135</v>
      </c>
      <c r="Q152" t="s">
        <v>37</v>
      </c>
      <c r="R152">
        <v>708</v>
      </c>
      <c r="S152">
        <v>730</v>
      </c>
      <c r="T152">
        <v>1</v>
      </c>
    </row>
    <row r="153" spans="15:20" x14ac:dyDescent="0.3">
      <c r="O153">
        <v>152</v>
      </c>
      <c r="P153" t="s">
        <v>136</v>
      </c>
      <c r="Q153" t="s">
        <v>34</v>
      </c>
      <c r="R153">
        <v>514</v>
      </c>
      <c r="S153">
        <v>0</v>
      </c>
      <c r="T153">
        <v>462</v>
      </c>
    </row>
    <row r="154" spans="15:20" x14ac:dyDescent="0.3">
      <c r="O154">
        <v>153</v>
      </c>
      <c r="P154" t="s">
        <v>136</v>
      </c>
      <c r="Q154" t="s">
        <v>37</v>
      </c>
      <c r="R154">
        <v>564</v>
      </c>
      <c r="S154">
        <v>874</v>
      </c>
      <c r="T154">
        <v>1</v>
      </c>
    </row>
    <row r="155" spans="15:20" x14ac:dyDescent="0.3">
      <c r="O155">
        <v>154</v>
      </c>
      <c r="P155" t="s">
        <v>137</v>
      </c>
      <c r="Q155" t="s">
        <v>34</v>
      </c>
      <c r="R155">
        <v>611</v>
      </c>
      <c r="S155">
        <v>8</v>
      </c>
      <c r="T155">
        <v>309</v>
      </c>
    </row>
    <row r="156" spans="15:20" x14ac:dyDescent="0.3">
      <c r="O156">
        <v>155</v>
      </c>
      <c r="P156" t="s">
        <v>137</v>
      </c>
      <c r="Q156" t="s">
        <v>37</v>
      </c>
      <c r="R156">
        <v>508</v>
      </c>
      <c r="S156">
        <v>931</v>
      </c>
      <c r="T156">
        <v>1</v>
      </c>
    </row>
    <row r="157" spans="15:20" x14ac:dyDescent="0.3">
      <c r="O157">
        <v>156</v>
      </c>
      <c r="P157" t="s">
        <v>138</v>
      </c>
      <c r="Q157" t="s">
        <v>34</v>
      </c>
      <c r="R157">
        <v>759</v>
      </c>
      <c r="S157">
        <v>680</v>
      </c>
      <c r="T157">
        <v>1</v>
      </c>
    </row>
    <row r="158" spans="15:20" x14ac:dyDescent="0.3">
      <c r="O158">
        <v>157</v>
      </c>
      <c r="P158" t="s">
        <v>138</v>
      </c>
      <c r="Q158" t="s">
        <v>37</v>
      </c>
      <c r="R158">
        <v>535</v>
      </c>
      <c r="S158">
        <v>904</v>
      </c>
      <c r="T158">
        <v>1</v>
      </c>
    </row>
    <row r="159" spans="15:20" x14ac:dyDescent="0.3">
      <c r="O159">
        <v>158</v>
      </c>
      <c r="P159" t="s">
        <v>139</v>
      </c>
      <c r="Q159" t="s">
        <v>34</v>
      </c>
      <c r="R159">
        <v>1198</v>
      </c>
      <c r="S159">
        <v>0</v>
      </c>
      <c r="T159">
        <v>120</v>
      </c>
    </row>
    <row r="160" spans="15:20" x14ac:dyDescent="0.3">
      <c r="O160">
        <v>159</v>
      </c>
      <c r="P160" t="s">
        <v>139</v>
      </c>
      <c r="Q160" t="s">
        <v>37</v>
      </c>
      <c r="R160">
        <v>0</v>
      </c>
      <c r="S160">
        <v>0</v>
      </c>
      <c r="T160">
        <v>720</v>
      </c>
    </row>
    <row r="161" spans="15:20" x14ac:dyDescent="0.3">
      <c r="O161">
        <v>160</v>
      </c>
      <c r="P161" t="s">
        <v>140</v>
      </c>
      <c r="Q161" t="s">
        <v>34</v>
      </c>
      <c r="R161">
        <v>0</v>
      </c>
      <c r="S161">
        <v>0</v>
      </c>
      <c r="T161">
        <v>720</v>
      </c>
    </row>
    <row r="162" spans="15:20" x14ac:dyDescent="0.3">
      <c r="O162">
        <v>161</v>
      </c>
      <c r="P162" t="s">
        <v>140</v>
      </c>
      <c r="Q162" t="s">
        <v>37</v>
      </c>
      <c r="R162">
        <v>0</v>
      </c>
      <c r="S162">
        <v>0</v>
      </c>
      <c r="T162">
        <v>720</v>
      </c>
    </row>
    <row r="163" spans="15:20" x14ac:dyDescent="0.3">
      <c r="O163">
        <v>162</v>
      </c>
      <c r="P163" t="s">
        <v>141</v>
      </c>
      <c r="Q163" t="s">
        <v>34</v>
      </c>
      <c r="R163">
        <v>145</v>
      </c>
      <c r="S163">
        <v>257</v>
      </c>
      <c r="T163">
        <v>519</v>
      </c>
    </row>
    <row r="164" spans="15:20" x14ac:dyDescent="0.3">
      <c r="O164">
        <v>163</v>
      </c>
      <c r="P164" t="s">
        <v>141</v>
      </c>
      <c r="Q164" t="s">
        <v>37</v>
      </c>
      <c r="R164">
        <v>702</v>
      </c>
      <c r="S164">
        <v>738</v>
      </c>
      <c r="T164">
        <v>1</v>
      </c>
    </row>
    <row r="165" spans="15:20" x14ac:dyDescent="0.3">
      <c r="O165">
        <v>164</v>
      </c>
      <c r="P165" t="s">
        <v>142</v>
      </c>
      <c r="Q165" t="s">
        <v>34</v>
      </c>
      <c r="R165">
        <v>535</v>
      </c>
      <c r="S165">
        <v>15</v>
      </c>
      <c r="T165">
        <v>444</v>
      </c>
    </row>
    <row r="166" spans="15:20" x14ac:dyDescent="0.3">
      <c r="O166">
        <v>165</v>
      </c>
      <c r="P166" t="s">
        <v>142</v>
      </c>
      <c r="Q166" t="s">
        <v>37</v>
      </c>
      <c r="R166">
        <v>612</v>
      </c>
      <c r="S166">
        <v>828</v>
      </c>
      <c r="T166">
        <v>1</v>
      </c>
    </row>
    <row r="167" spans="15:20" x14ac:dyDescent="0.3">
      <c r="O167">
        <v>166</v>
      </c>
      <c r="P167" t="s">
        <v>143</v>
      </c>
      <c r="Q167" t="s">
        <v>34</v>
      </c>
      <c r="R167">
        <v>431</v>
      </c>
      <c r="S167">
        <v>0</v>
      </c>
      <c r="T167">
        <v>502</v>
      </c>
    </row>
    <row r="168" spans="15:20" x14ac:dyDescent="0.3">
      <c r="O168">
        <v>167</v>
      </c>
      <c r="P168" t="s">
        <v>143</v>
      </c>
      <c r="Q168" t="s">
        <v>37</v>
      </c>
      <c r="R168">
        <v>729</v>
      </c>
      <c r="S168">
        <v>711</v>
      </c>
      <c r="T168">
        <v>1</v>
      </c>
    </row>
    <row r="169" spans="15:20" x14ac:dyDescent="0.3">
      <c r="O169">
        <v>168</v>
      </c>
      <c r="P169" t="s">
        <v>144</v>
      </c>
      <c r="Q169" t="s">
        <v>34</v>
      </c>
      <c r="R169">
        <v>460</v>
      </c>
      <c r="S169">
        <v>0</v>
      </c>
      <c r="T169">
        <v>489</v>
      </c>
    </row>
    <row r="170" spans="15:20" x14ac:dyDescent="0.3">
      <c r="O170">
        <v>169</v>
      </c>
      <c r="P170" t="s">
        <v>144</v>
      </c>
      <c r="Q170" t="s">
        <v>37</v>
      </c>
      <c r="R170">
        <v>506</v>
      </c>
      <c r="S170">
        <v>932</v>
      </c>
      <c r="T170">
        <v>2</v>
      </c>
    </row>
    <row r="171" spans="15:20" x14ac:dyDescent="0.3">
      <c r="O171">
        <v>170</v>
      </c>
      <c r="P171" t="s">
        <v>145</v>
      </c>
      <c r="Q171" t="s">
        <v>34</v>
      </c>
      <c r="R171">
        <v>855</v>
      </c>
      <c r="S171">
        <v>0</v>
      </c>
      <c r="T171">
        <v>291</v>
      </c>
    </row>
    <row r="172" spans="15:20" x14ac:dyDescent="0.3">
      <c r="O172">
        <v>171</v>
      </c>
      <c r="P172" t="s">
        <v>145</v>
      </c>
      <c r="Q172" t="s">
        <v>37</v>
      </c>
      <c r="R172">
        <v>587</v>
      </c>
      <c r="S172">
        <v>693</v>
      </c>
      <c r="T172">
        <v>1</v>
      </c>
    </row>
    <row r="173" spans="15:20" x14ac:dyDescent="0.3">
      <c r="O173">
        <v>172</v>
      </c>
      <c r="P173" t="s">
        <v>146</v>
      </c>
      <c r="Q173" t="s">
        <v>34</v>
      </c>
      <c r="R173">
        <v>357</v>
      </c>
      <c r="S173">
        <v>0</v>
      </c>
      <c r="T173">
        <v>362</v>
      </c>
    </row>
    <row r="174" spans="15:20" x14ac:dyDescent="0.3">
      <c r="O174">
        <v>173</v>
      </c>
      <c r="P174" t="s">
        <v>146</v>
      </c>
      <c r="Q174" t="s">
        <v>37</v>
      </c>
      <c r="R174">
        <v>0</v>
      </c>
      <c r="S174">
        <v>0</v>
      </c>
      <c r="T174">
        <v>720</v>
      </c>
    </row>
    <row r="175" spans="15:20" x14ac:dyDescent="0.3">
      <c r="O175">
        <v>174</v>
      </c>
      <c r="P175" t="s">
        <v>147</v>
      </c>
      <c r="Q175" t="s">
        <v>34</v>
      </c>
      <c r="R175">
        <v>0</v>
      </c>
      <c r="S175">
        <v>0</v>
      </c>
      <c r="T175">
        <v>720</v>
      </c>
    </row>
    <row r="176" spans="15:20" x14ac:dyDescent="0.3">
      <c r="O176">
        <v>175</v>
      </c>
      <c r="P176" t="s">
        <v>147</v>
      </c>
      <c r="Q176" t="s">
        <v>37</v>
      </c>
      <c r="R176">
        <v>0</v>
      </c>
      <c r="S176">
        <v>0</v>
      </c>
      <c r="T176">
        <v>720</v>
      </c>
    </row>
    <row r="177" spans="15:20" x14ac:dyDescent="0.3">
      <c r="O177">
        <v>176</v>
      </c>
      <c r="P177" t="s">
        <v>148</v>
      </c>
      <c r="Q177" t="s">
        <v>34</v>
      </c>
      <c r="R177">
        <v>409</v>
      </c>
      <c r="S177">
        <v>617</v>
      </c>
      <c r="T177">
        <v>207</v>
      </c>
    </row>
    <row r="178" spans="15:20" x14ac:dyDescent="0.3">
      <c r="O178">
        <v>177</v>
      </c>
      <c r="P178" t="s">
        <v>148</v>
      </c>
      <c r="Q178" t="s">
        <v>37</v>
      </c>
      <c r="R178">
        <v>493</v>
      </c>
      <c r="S178">
        <v>946</v>
      </c>
      <c r="T178">
        <v>1</v>
      </c>
    </row>
    <row r="179" spans="15:20" x14ac:dyDescent="0.3">
      <c r="O179">
        <v>178</v>
      </c>
      <c r="P179" t="s">
        <v>149</v>
      </c>
      <c r="Q179" t="s">
        <v>34</v>
      </c>
      <c r="R179">
        <v>694</v>
      </c>
      <c r="S179">
        <v>746</v>
      </c>
      <c r="T179">
        <v>1</v>
      </c>
    </row>
    <row r="180" spans="15:20" x14ac:dyDescent="0.3">
      <c r="O180">
        <v>179</v>
      </c>
      <c r="P180" t="s">
        <v>149</v>
      </c>
      <c r="Q180" t="s">
        <v>37</v>
      </c>
      <c r="R180">
        <v>698</v>
      </c>
      <c r="S180">
        <v>742</v>
      </c>
      <c r="T180">
        <v>1</v>
      </c>
    </row>
    <row r="181" spans="15:20" x14ac:dyDescent="0.3">
      <c r="O181">
        <v>180</v>
      </c>
      <c r="P181" t="s">
        <v>150</v>
      </c>
      <c r="Q181" t="s">
        <v>34</v>
      </c>
      <c r="R181">
        <v>900</v>
      </c>
      <c r="S181">
        <v>540</v>
      </c>
      <c r="T181">
        <v>1</v>
      </c>
    </row>
    <row r="182" spans="15:20" x14ac:dyDescent="0.3">
      <c r="O182">
        <v>181</v>
      </c>
      <c r="P182" t="s">
        <v>150</v>
      </c>
      <c r="Q182" t="s">
        <v>37</v>
      </c>
      <c r="R182">
        <v>522</v>
      </c>
      <c r="S182">
        <v>918</v>
      </c>
      <c r="T182">
        <v>1</v>
      </c>
    </row>
    <row r="183" spans="15:20" x14ac:dyDescent="0.3">
      <c r="O183">
        <v>182</v>
      </c>
      <c r="P183" t="s">
        <v>151</v>
      </c>
      <c r="Q183" t="s">
        <v>34</v>
      </c>
      <c r="R183">
        <v>670</v>
      </c>
      <c r="S183">
        <v>769</v>
      </c>
      <c r="T183">
        <v>1</v>
      </c>
    </row>
    <row r="184" spans="15:20" x14ac:dyDescent="0.3">
      <c r="O184">
        <v>183</v>
      </c>
      <c r="P184" t="s">
        <v>151</v>
      </c>
      <c r="Q184" t="s">
        <v>37</v>
      </c>
      <c r="R184">
        <v>550</v>
      </c>
      <c r="S184">
        <v>889</v>
      </c>
      <c r="T184">
        <v>1</v>
      </c>
    </row>
    <row r="185" spans="15:20" x14ac:dyDescent="0.3">
      <c r="O185">
        <v>184</v>
      </c>
      <c r="P185" t="s">
        <v>152</v>
      </c>
      <c r="Q185" t="s">
        <v>34</v>
      </c>
      <c r="R185">
        <v>689</v>
      </c>
      <c r="S185">
        <v>750</v>
      </c>
      <c r="T185">
        <v>1</v>
      </c>
    </row>
    <row r="186" spans="15:20" x14ac:dyDescent="0.3">
      <c r="O186">
        <v>185</v>
      </c>
      <c r="P186" t="s">
        <v>152</v>
      </c>
      <c r="Q186" t="s">
        <v>37</v>
      </c>
      <c r="R186">
        <v>266</v>
      </c>
      <c r="S186">
        <v>852</v>
      </c>
      <c r="T186">
        <v>157</v>
      </c>
    </row>
    <row r="187" spans="15:20" x14ac:dyDescent="0.3">
      <c r="O187">
        <v>186</v>
      </c>
      <c r="P187" t="s">
        <v>153</v>
      </c>
      <c r="Q187" t="s">
        <v>34</v>
      </c>
      <c r="R187">
        <v>0</v>
      </c>
      <c r="S187">
        <v>0</v>
      </c>
      <c r="T187">
        <v>720</v>
      </c>
    </row>
    <row r="188" spans="15:20" x14ac:dyDescent="0.3">
      <c r="O188">
        <v>187</v>
      </c>
      <c r="P188" t="s">
        <v>153</v>
      </c>
      <c r="Q188" t="s">
        <v>37</v>
      </c>
      <c r="R188">
        <v>0</v>
      </c>
      <c r="S188">
        <v>0</v>
      </c>
      <c r="T188">
        <v>720</v>
      </c>
    </row>
    <row r="189" spans="15:20" x14ac:dyDescent="0.3">
      <c r="O189">
        <v>188</v>
      </c>
      <c r="P189" t="s">
        <v>154</v>
      </c>
      <c r="Q189" t="s">
        <v>34</v>
      </c>
      <c r="R189">
        <v>0</v>
      </c>
      <c r="S189">
        <v>0</v>
      </c>
      <c r="T189">
        <v>720</v>
      </c>
    </row>
    <row r="190" spans="15:20" x14ac:dyDescent="0.3">
      <c r="O190">
        <v>189</v>
      </c>
      <c r="P190" t="s">
        <v>154</v>
      </c>
      <c r="Q190" t="s">
        <v>37</v>
      </c>
      <c r="R190">
        <v>0</v>
      </c>
      <c r="S190">
        <v>0</v>
      </c>
      <c r="T190">
        <v>720</v>
      </c>
    </row>
    <row r="191" spans="15:20" x14ac:dyDescent="0.3">
      <c r="O191">
        <v>190</v>
      </c>
      <c r="P191" t="s">
        <v>155</v>
      </c>
      <c r="Q191" t="s">
        <v>34</v>
      </c>
      <c r="R191">
        <v>339</v>
      </c>
      <c r="S191">
        <v>670</v>
      </c>
      <c r="T191">
        <v>225</v>
      </c>
    </row>
    <row r="192" spans="15:20" x14ac:dyDescent="0.3">
      <c r="O192">
        <v>191</v>
      </c>
      <c r="P192" t="s">
        <v>155</v>
      </c>
      <c r="Q192" t="s">
        <v>37</v>
      </c>
      <c r="R192">
        <v>790</v>
      </c>
      <c r="S192">
        <v>650</v>
      </c>
      <c r="T192">
        <v>1</v>
      </c>
    </row>
    <row r="193" spans="15:20" x14ac:dyDescent="0.3">
      <c r="O193">
        <v>192</v>
      </c>
      <c r="P193" t="s">
        <v>156</v>
      </c>
      <c r="Q193" t="s">
        <v>34</v>
      </c>
      <c r="R193">
        <v>776</v>
      </c>
      <c r="S193">
        <v>495</v>
      </c>
      <c r="T193">
        <v>169</v>
      </c>
    </row>
    <row r="194" spans="15:20" x14ac:dyDescent="0.3">
      <c r="O194">
        <v>193</v>
      </c>
      <c r="P194" t="s">
        <v>156</v>
      </c>
      <c r="Q194" t="s">
        <v>37</v>
      </c>
      <c r="R194">
        <v>765</v>
      </c>
      <c r="S194">
        <v>675</v>
      </c>
      <c r="T194">
        <v>1</v>
      </c>
    </row>
    <row r="195" spans="15:20" x14ac:dyDescent="0.3">
      <c r="O195">
        <v>194</v>
      </c>
      <c r="P195" t="s">
        <v>157</v>
      </c>
      <c r="Q195" t="s">
        <v>34</v>
      </c>
      <c r="R195">
        <v>736</v>
      </c>
      <c r="S195">
        <v>702</v>
      </c>
      <c r="T195">
        <v>1</v>
      </c>
    </row>
    <row r="196" spans="15:20" x14ac:dyDescent="0.3">
      <c r="O196">
        <v>195</v>
      </c>
      <c r="P196" t="s">
        <v>157</v>
      </c>
      <c r="Q196" t="s">
        <v>37</v>
      </c>
      <c r="R196">
        <v>672</v>
      </c>
      <c r="S196">
        <v>767</v>
      </c>
      <c r="T196">
        <v>1</v>
      </c>
    </row>
    <row r="197" spans="15:20" x14ac:dyDescent="0.3">
      <c r="O197">
        <v>196</v>
      </c>
      <c r="P197" t="s">
        <v>158</v>
      </c>
      <c r="Q197" t="s">
        <v>34</v>
      </c>
      <c r="R197">
        <v>686</v>
      </c>
      <c r="S197">
        <v>753</v>
      </c>
      <c r="T197">
        <v>1</v>
      </c>
    </row>
    <row r="198" spans="15:20" x14ac:dyDescent="0.3">
      <c r="O198">
        <v>197</v>
      </c>
      <c r="P198" t="s">
        <v>158</v>
      </c>
      <c r="Q198" t="s">
        <v>37</v>
      </c>
      <c r="R198">
        <v>559</v>
      </c>
      <c r="S198">
        <v>880</v>
      </c>
      <c r="T198">
        <v>1</v>
      </c>
    </row>
    <row r="199" spans="15:20" x14ac:dyDescent="0.3">
      <c r="O199">
        <v>198</v>
      </c>
      <c r="P199" t="s">
        <v>159</v>
      </c>
      <c r="Q199" t="s">
        <v>34</v>
      </c>
      <c r="R199">
        <v>703</v>
      </c>
      <c r="S199">
        <v>736</v>
      </c>
      <c r="T199">
        <v>1</v>
      </c>
    </row>
    <row r="200" spans="15:20" x14ac:dyDescent="0.3">
      <c r="O200">
        <v>199</v>
      </c>
      <c r="P200" t="s">
        <v>159</v>
      </c>
      <c r="Q200" t="s">
        <v>37</v>
      </c>
      <c r="R200">
        <v>455</v>
      </c>
      <c r="S200">
        <v>666</v>
      </c>
      <c r="T200">
        <v>155</v>
      </c>
    </row>
    <row r="201" spans="15:20" x14ac:dyDescent="0.3">
      <c r="O201">
        <v>200</v>
      </c>
      <c r="P201" t="s">
        <v>160</v>
      </c>
      <c r="Q201" t="s">
        <v>34</v>
      </c>
      <c r="R201">
        <v>0</v>
      </c>
      <c r="S201">
        <v>0</v>
      </c>
      <c r="T201">
        <v>720</v>
      </c>
    </row>
    <row r="202" spans="15:20" x14ac:dyDescent="0.3">
      <c r="O202">
        <v>201</v>
      </c>
      <c r="P202" t="s">
        <v>160</v>
      </c>
      <c r="Q202" t="s">
        <v>37</v>
      </c>
      <c r="R202">
        <v>0</v>
      </c>
      <c r="S202">
        <v>0</v>
      </c>
      <c r="T202">
        <v>720</v>
      </c>
    </row>
    <row r="203" spans="15:20" x14ac:dyDescent="0.3">
      <c r="O203">
        <v>202</v>
      </c>
      <c r="P203" t="s">
        <v>161</v>
      </c>
      <c r="Q203" t="s">
        <v>34</v>
      </c>
      <c r="R203">
        <v>0</v>
      </c>
      <c r="S203">
        <v>0</v>
      </c>
      <c r="T203">
        <v>720</v>
      </c>
    </row>
    <row r="204" spans="15:20" x14ac:dyDescent="0.3">
      <c r="O204">
        <v>203</v>
      </c>
      <c r="P204" t="s">
        <v>161</v>
      </c>
      <c r="Q204" t="s">
        <v>37</v>
      </c>
      <c r="R204">
        <v>0</v>
      </c>
      <c r="S204">
        <v>0</v>
      </c>
      <c r="T204">
        <v>720</v>
      </c>
    </row>
    <row r="205" spans="15:20" x14ac:dyDescent="0.3">
      <c r="O205">
        <v>204</v>
      </c>
      <c r="P205" t="s">
        <v>162</v>
      </c>
      <c r="Q205" t="s">
        <v>34</v>
      </c>
      <c r="R205">
        <v>497</v>
      </c>
      <c r="S205">
        <v>533</v>
      </c>
      <c r="T205">
        <v>205</v>
      </c>
    </row>
    <row r="206" spans="15:20" x14ac:dyDescent="0.3">
      <c r="O206">
        <v>205</v>
      </c>
      <c r="P206" t="s">
        <v>162</v>
      </c>
      <c r="Q206" t="s">
        <v>37</v>
      </c>
      <c r="R206">
        <v>513</v>
      </c>
      <c r="S206">
        <v>926</v>
      </c>
      <c r="T206">
        <v>1</v>
      </c>
    </row>
    <row r="207" spans="15:20" x14ac:dyDescent="0.3">
      <c r="O207">
        <v>206</v>
      </c>
      <c r="P207" t="s">
        <v>163</v>
      </c>
      <c r="Q207" t="s">
        <v>34</v>
      </c>
      <c r="R207">
        <v>804</v>
      </c>
      <c r="S207">
        <v>636</v>
      </c>
      <c r="T207">
        <v>1</v>
      </c>
    </row>
    <row r="208" spans="15:20" x14ac:dyDescent="0.3">
      <c r="O208">
        <v>207</v>
      </c>
      <c r="P208" t="s">
        <v>163</v>
      </c>
      <c r="Q208" t="s">
        <v>37</v>
      </c>
      <c r="R208">
        <v>422</v>
      </c>
      <c r="S208">
        <v>1018</v>
      </c>
      <c r="T208">
        <v>1</v>
      </c>
    </row>
    <row r="209" spans="15:20" x14ac:dyDescent="0.3">
      <c r="O209">
        <v>208</v>
      </c>
      <c r="P209" t="s">
        <v>164</v>
      </c>
      <c r="Q209" t="s">
        <v>34</v>
      </c>
      <c r="R209">
        <v>767</v>
      </c>
      <c r="S209">
        <v>671</v>
      </c>
      <c r="T209">
        <v>1</v>
      </c>
    </row>
    <row r="210" spans="15:20" x14ac:dyDescent="0.3">
      <c r="O210">
        <v>209</v>
      </c>
      <c r="P210" t="s">
        <v>164</v>
      </c>
      <c r="Q210" t="s">
        <v>37</v>
      </c>
      <c r="R210">
        <v>544</v>
      </c>
      <c r="S210">
        <v>895</v>
      </c>
      <c r="T210">
        <v>1</v>
      </c>
    </row>
    <row r="211" spans="15:20" x14ac:dyDescent="0.3">
      <c r="O211">
        <v>210</v>
      </c>
      <c r="P211" t="s">
        <v>165</v>
      </c>
      <c r="Q211" t="s">
        <v>34</v>
      </c>
      <c r="R211">
        <v>828</v>
      </c>
      <c r="S211">
        <v>610</v>
      </c>
      <c r="T211">
        <v>1</v>
      </c>
    </row>
    <row r="212" spans="15:20" x14ac:dyDescent="0.3">
      <c r="O212">
        <v>211</v>
      </c>
      <c r="P212" t="s">
        <v>165</v>
      </c>
      <c r="Q212" t="s">
        <v>37</v>
      </c>
      <c r="R212">
        <v>455</v>
      </c>
      <c r="S212">
        <v>984</v>
      </c>
      <c r="T212">
        <v>1</v>
      </c>
    </row>
    <row r="213" spans="15:20" x14ac:dyDescent="0.3">
      <c r="O213">
        <v>212</v>
      </c>
      <c r="P213" t="s">
        <v>166</v>
      </c>
      <c r="Q213" t="s">
        <v>34</v>
      </c>
      <c r="R213">
        <v>709</v>
      </c>
      <c r="S213">
        <v>731</v>
      </c>
      <c r="T213">
        <v>1</v>
      </c>
    </row>
    <row r="214" spans="15:20" x14ac:dyDescent="0.3">
      <c r="O214">
        <v>213</v>
      </c>
      <c r="P214" t="s">
        <v>166</v>
      </c>
      <c r="Q214" t="s">
        <v>37</v>
      </c>
      <c r="R214">
        <v>352</v>
      </c>
      <c r="S214">
        <v>761</v>
      </c>
      <c r="T214">
        <v>164</v>
      </c>
    </row>
    <row r="215" spans="15:20" x14ac:dyDescent="0.3">
      <c r="O215">
        <v>214</v>
      </c>
      <c r="P215" t="s">
        <v>167</v>
      </c>
      <c r="Q215" t="s">
        <v>34</v>
      </c>
      <c r="R215">
        <v>0</v>
      </c>
      <c r="S215">
        <v>0</v>
      </c>
      <c r="T215">
        <v>720</v>
      </c>
    </row>
    <row r="216" spans="15:20" x14ac:dyDescent="0.3">
      <c r="O216">
        <v>215</v>
      </c>
      <c r="P216" t="s">
        <v>167</v>
      </c>
      <c r="Q216" t="s">
        <v>37</v>
      </c>
      <c r="R216">
        <v>0</v>
      </c>
      <c r="S216">
        <v>0</v>
      </c>
      <c r="T216">
        <v>720</v>
      </c>
    </row>
    <row r="217" spans="15:20" x14ac:dyDescent="0.3">
      <c r="O217">
        <v>216</v>
      </c>
      <c r="P217" t="s">
        <v>168</v>
      </c>
      <c r="Q217" t="s">
        <v>34</v>
      </c>
      <c r="R217">
        <v>0</v>
      </c>
      <c r="S217">
        <v>0</v>
      </c>
      <c r="T217">
        <v>720</v>
      </c>
    </row>
    <row r="218" spans="15:20" x14ac:dyDescent="0.3">
      <c r="O218">
        <v>217</v>
      </c>
      <c r="P218" t="s">
        <v>168</v>
      </c>
      <c r="Q218" t="s">
        <v>37</v>
      </c>
      <c r="R218">
        <v>0</v>
      </c>
      <c r="S218">
        <v>0</v>
      </c>
      <c r="T218">
        <v>720</v>
      </c>
    </row>
    <row r="219" spans="15:20" x14ac:dyDescent="0.3">
      <c r="O219">
        <v>218</v>
      </c>
      <c r="P219" t="s">
        <v>169</v>
      </c>
      <c r="Q219" t="s">
        <v>34</v>
      </c>
      <c r="R219">
        <v>253</v>
      </c>
      <c r="S219">
        <v>778</v>
      </c>
      <c r="T219">
        <v>205</v>
      </c>
    </row>
    <row r="220" spans="15:20" x14ac:dyDescent="0.3">
      <c r="O220">
        <v>219</v>
      </c>
      <c r="P220" t="s">
        <v>169</v>
      </c>
      <c r="Q220" t="s">
        <v>37</v>
      </c>
      <c r="R220">
        <v>821</v>
      </c>
      <c r="S220">
        <v>617</v>
      </c>
      <c r="T220">
        <v>1</v>
      </c>
    </row>
    <row r="221" spans="15:20" x14ac:dyDescent="0.3">
      <c r="O221">
        <v>220</v>
      </c>
      <c r="P221" t="s">
        <v>170</v>
      </c>
      <c r="Q221" t="s">
        <v>34</v>
      </c>
      <c r="R221">
        <v>741</v>
      </c>
      <c r="S221">
        <v>697</v>
      </c>
      <c r="T221">
        <v>1</v>
      </c>
    </row>
    <row r="222" spans="15:20" x14ac:dyDescent="0.3">
      <c r="O222">
        <v>221</v>
      </c>
      <c r="P222" t="s">
        <v>170</v>
      </c>
      <c r="Q222" t="s">
        <v>37</v>
      </c>
      <c r="R222">
        <v>789</v>
      </c>
      <c r="S222">
        <v>651</v>
      </c>
      <c r="T222">
        <v>1</v>
      </c>
    </row>
    <row r="223" spans="15:20" x14ac:dyDescent="0.3">
      <c r="O223">
        <v>222</v>
      </c>
      <c r="P223" t="s">
        <v>171</v>
      </c>
      <c r="Q223" t="s">
        <v>34</v>
      </c>
      <c r="R223">
        <v>731</v>
      </c>
      <c r="S223">
        <v>708</v>
      </c>
      <c r="T223">
        <v>1</v>
      </c>
    </row>
    <row r="224" spans="15:20" x14ac:dyDescent="0.3">
      <c r="O224">
        <v>223</v>
      </c>
      <c r="P224" t="s">
        <v>171</v>
      </c>
      <c r="Q224" t="s">
        <v>37</v>
      </c>
      <c r="R224">
        <v>612</v>
      </c>
      <c r="S224">
        <v>828</v>
      </c>
      <c r="T224">
        <v>1</v>
      </c>
    </row>
    <row r="225" spans="15:20" x14ac:dyDescent="0.3">
      <c r="O225">
        <v>224</v>
      </c>
      <c r="P225" t="s">
        <v>172</v>
      </c>
      <c r="Q225" t="s">
        <v>34</v>
      </c>
      <c r="R225">
        <v>638</v>
      </c>
      <c r="S225">
        <v>801</v>
      </c>
      <c r="T225">
        <v>1</v>
      </c>
    </row>
    <row r="226" spans="15:20" x14ac:dyDescent="0.3">
      <c r="O226">
        <v>225</v>
      </c>
      <c r="P226" t="s">
        <v>172</v>
      </c>
      <c r="Q226" t="s">
        <v>37</v>
      </c>
      <c r="R226">
        <v>727</v>
      </c>
      <c r="S226">
        <v>713</v>
      </c>
      <c r="T226">
        <v>1</v>
      </c>
    </row>
    <row r="227" spans="15:20" x14ac:dyDescent="0.3">
      <c r="O227">
        <v>226</v>
      </c>
      <c r="P227" t="s">
        <v>173</v>
      </c>
      <c r="Q227" t="s">
        <v>34</v>
      </c>
      <c r="R227">
        <v>751</v>
      </c>
      <c r="S227">
        <v>688</v>
      </c>
      <c r="T227">
        <v>1</v>
      </c>
    </row>
    <row r="228" spans="15:20" x14ac:dyDescent="0.3">
      <c r="O228">
        <v>227</v>
      </c>
      <c r="P228" t="s">
        <v>173</v>
      </c>
      <c r="Q228" t="s">
        <v>37</v>
      </c>
      <c r="R228">
        <v>385</v>
      </c>
      <c r="S228">
        <v>744</v>
      </c>
      <c r="T228">
        <v>155</v>
      </c>
    </row>
    <row r="229" spans="15:20" x14ac:dyDescent="0.3">
      <c r="O229">
        <v>228</v>
      </c>
      <c r="P229" t="s">
        <v>174</v>
      </c>
      <c r="Q229" t="s">
        <v>34</v>
      </c>
      <c r="R229">
        <v>0</v>
      </c>
      <c r="S229">
        <v>0</v>
      </c>
      <c r="T229">
        <v>720</v>
      </c>
    </row>
    <row r="230" spans="15:20" x14ac:dyDescent="0.3">
      <c r="O230">
        <v>229</v>
      </c>
      <c r="P230" t="s">
        <v>174</v>
      </c>
      <c r="Q230" t="s">
        <v>37</v>
      </c>
      <c r="R230">
        <v>0</v>
      </c>
      <c r="S230">
        <v>0</v>
      </c>
      <c r="T230">
        <v>720</v>
      </c>
    </row>
    <row r="231" spans="15:20" x14ac:dyDescent="0.3">
      <c r="O231">
        <v>230</v>
      </c>
      <c r="P231" t="s">
        <v>175</v>
      </c>
      <c r="Q231" t="s">
        <v>34</v>
      </c>
      <c r="R231">
        <v>0</v>
      </c>
      <c r="S231">
        <v>0</v>
      </c>
      <c r="T231">
        <v>720</v>
      </c>
    </row>
    <row r="232" spans="15:20" x14ac:dyDescent="0.3">
      <c r="O232">
        <v>231</v>
      </c>
      <c r="P232" t="s">
        <v>175</v>
      </c>
      <c r="Q232" t="s">
        <v>37</v>
      </c>
      <c r="R232">
        <v>0</v>
      </c>
      <c r="S232">
        <v>0</v>
      </c>
      <c r="T232">
        <v>720</v>
      </c>
    </row>
    <row r="233" spans="15:20" x14ac:dyDescent="0.3">
      <c r="O233">
        <v>232</v>
      </c>
      <c r="P233" t="s">
        <v>176</v>
      </c>
      <c r="Q233" t="s">
        <v>34</v>
      </c>
      <c r="R233">
        <v>310</v>
      </c>
      <c r="S233">
        <v>723</v>
      </c>
      <c r="T233">
        <v>204</v>
      </c>
    </row>
    <row r="234" spans="15:20" x14ac:dyDescent="0.3">
      <c r="O234">
        <v>233</v>
      </c>
      <c r="P234" t="s">
        <v>176</v>
      </c>
      <c r="Q234" t="s">
        <v>37</v>
      </c>
      <c r="R234">
        <v>498</v>
      </c>
      <c r="S234">
        <v>941</v>
      </c>
      <c r="T234">
        <v>1</v>
      </c>
    </row>
    <row r="235" spans="15:20" x14ac:dyDescent="0.3">
      <c r="O235">
        <v>234</v>
      </c>
      <c r="P235" t="s">
        <v>177</v>
      </c>
      <c r="Q235" t="s">
        <v>34</v>
      </c>
      <c r="R235">
        <v>752</v>
      </c>
      <c r="S235">
        <v>687</v>
      </c>
      <c r="T235">
        <v>1</v>
      </c>
    </row>
    <row r="236" spans="15:20" x14ac:dyDescent="0.3">
      <c r="O236">
        <v>235</v>
      </c>
      <c r="P236" t="s">
        <v>177</v>
      </c>
      <c r="Q236" t="s">
        <v>37</v>
      </c>
      <c r="R236">
        <v>569</v>
      </c>
      <c r="S236">
        <v>869</v>
      </c>
      <c r="T236">
        <v>1</v>
      </c>
    </row>
    <row r="237" spans="15:20" x14ac:dyDescent="0.3">
      <c r="O237">
        <v>236</v>
      </c>
      <c r="P237" t="s">
        <v>178</v>
      </c>
      <c r="Q237" t="s">
        <v>34</v>
      </c>
      <c r="R237">
        <v>786</v>
      </c>
      <c r="S237">
        <v>652</v>
      </c>
      <c r="T237">
        <v>1</v>
      </c>
    </row>
    <row r="238" spans="15:20" x14ac:dyDescent="0.3">
      <c r="O238">
        <v>237</v>
      </c>
      <c r="P238" t="s">
        <v>178</v>
      </c>
      <c r="Q238" t="s">
        <v>37</v>
      </c>
      <c r="R238">
        <v>150</v>
      </c>
      <c r="S238">
        <v>858</v>
      </c>
      <c r="T238">
        <v>215</v>
      </c>
    </row>
    <row r="239" spans="15:20" x14ac:dyDescent="0.3">
      <c r="O239">
        <v>238</v>
      </c>
      <c r="P239" t="s">
        <v>179</v>
      </c>
      <c r="Q239" t="s">
        <v>34</v>
      </c>
      <c r="R239">
        <v>0</v>
      </c>
      <c r="S239">
        <v>0</v>
      </c>
      <c r="T239">
        <v>720</v>
      </c>
    </row>
    <row r="240" spans="15:20" x14ac:dyDescent="0.3">
      <c r="O240">
        <v>239</v>
      </c>
      <c r="P240" t="s">
        <v>179</v>
      </c>
      <c r="Q240" t="s">
        <v>37</v>
      </c>
      <c r="R240">
        <v>0</v>
      </c>
      <c r="S240">
        <v>0</v>
      </c>
      <c r="T240">
        <v>720</v>
      </c>
    </row>
    <row r="241" spans="15:20" x14ac:dyDescent="0.3">
      <c r="O241">
        <v>240</v>
      </c>
      <c r="P241" t="s">
        <v>180</v>
      </c>
      <c r="Q241" t="s">
        <v>34</v>
      </c>
      <c r="R241">
        <v>0</v>
      </c>
      <c r="S241">
        <v>0</v>
      </c>
      <c r="T241">
        <v>720</v>
      </c>
    </row>
    <row r="242" spans="15:20" x14ac:dyDescent="0.3">
      <c r="O242">
        <v>241</v>
      </c>
      <c r="P242" t="s">
        <v>180</v>
      </c>
      <c r="Q242" t="s">
        <v>37</v>
      </c>
      <c r="R242">
        <v>0</v>
      </c>
      <c r="S242">
        <v>0</v>
      </c>
      <c r="T242">
        <v>720</v>
      </c>
    </row>
    <row r="243" spans="15:20" x14ac:dyDescent="0.3">
      <c r="O243">
        <v>242</v>
      </c>
      <c r="P243" t="s">
        <v>181</v>
      </c>
      <c r="Q243" t="s">
        <v>34</v>
      </c>
      <c r="R243">
        <v>0</v>
      </c>
      <c r="S243">
        <v>0</v>
      </c>
      <c r="T243">
        <v>720</v>
      </c>
    </row>
    <row r="244" spans="15:20" x14ac:dyDescent="0.3">
      <c r="O244">
        <v>243</v>
      </c>
      <c r="P244" t="s">
        <v>181</v>
      </c>
      <c r="Q244" t="s">
        <v>37</v>
      </c>
      <c r="R244">
        <v>0</v>
      </c>
      <c r="S244">
        <v>0</v>
      </c>
      <c r="T244">
        <v>720</v>
      </c>
    </row>
    <row r="245" spans="15:20" x14ac:dyDescent="0.3">
      <c r="O245">
        <v>244</v>
      </c>
      <c r="P245" t="s">
        <v>182</v>
      </c>
      <c r="Q245" t="s">
        <v>34</v>
      </c>
      <c r="R245">
        <v>0</v>
      </c>
      <c r="S245">
        <v>0</v>
      </c>
      <c r="T245">
        <v>720</v>
      </c>
    </row>
    <row r="246" spans="15:20" x14ac:dyDescent="0.3">
      <c r="O246">
        <v>245</v>
      </c>
      <c r="P246" t="s">
        <v>182</v>
      </c>
      <c r="Q246" t="s">
        <v>37</v>
      </c>
      <c r="R246">
        <v>0</v>
      </c>
      <c r="S246">
        <v>0</v>
      </c>
      <c r="T246">
        <v>720</v>
      </c>
    </row>
    <row r="247" spans="15:20" x14ac:dyDescent="0.3">
      <c r="O247">
        <v>246</v>
      </c>
      <c r="P247" t="s">
        <v>183</v>
      </c>
      <c r="Q247" t="s">
        <v>34</v>
      </c>
      <c r="R247">
        <v>355</v>
      </c>
      <c r="S247">
        <v>676</v>
      </c>
      <c r="T247">
        <v>204</v>
      </c>
    </row>
    <row r="248" spans="15:20" x14ac:dyDescent="0.3">
      <c r="O248">
        <v>247</v>
      </c>
      <c r="P248" t="s">
        <v>183</v>
      </c>
      <c r="Q248" t="s">
        <v>37</v>
      </c>
      <c r="R248">
        <v>663</v>
      </c>
      <c r="S248">
        <v>776</v>
      </c>
      <c r="T248">
        <v>1</v>
      </c>
    </row>
    <row r="249" spans="15:20" x14ac:dyDescent="0.3">
      <c r="O249">
        <v>248</v>
      </c>
      <c r="P249" t="s">
        <v>184</v>
      </c>
      <c r="Q249" t="s">
        <v>34</v>
      </c>
      <c r="R249">
        <v>713</v>
      </c>
      <c r="S249">
        <v>726</v>
      </c>
      <c r="T249">
        <v>1</v>
      </c>
    </row>
    <row r="250" spans="15:20" x14ac:dyDescent="0.3">
      <c r="O250">
        <v>249</v>
      </c>
      <c r="P250" t="s">
        <v>184</v>
      </c>
      <c r="Q250" t="s">
        <v>37</v>
      </c>
      <c r="R250">
        <v>697</v>
      </c>
      <c r="S250">
        <v>743</v>
      </c>
      <c r="T250">
        <v>1</v>
      </c>
    </row>
    <row r="251" spans="15:20" x14ac:dyDescent="0.3">
      <c r="O251">
        <v>250</v>
      </c>
      <c r="P251" t="s">
        <v>185</v>
      </c>
      <c r="Q251" t="s">
        <v>34</v>
      </c>
      <c r="R251">
        <v>640</v>
      </c>
      <c r="S251">
        <v>798</v>
      </c>
      <c r="T251">
        <v>1</v>
      </c>
    </row>
    <row r="252" spans="15:20" x14ac:dyDescent="0.3">
      <c r="O252">
        <v>251</v>
      </c>
      <c r="P252" t="s">
        <v>185</v>
      </c>
      <c r="Q252" t="s">
        <v>37</v>
      </c>
      <c r="R252">
        <v>464</v>
      </c>
      <c r="S252">
        <v>541</v>
      </c>
      <c r="T252">
        <v>1</v>
      </c>
    </row>
    <row r="253" spans="15:20" x14ac:dyDescent="0.3">
      <c r="O253">
        <v>252</v>
      </c>
      <c r="P253" t="s">
        <v>186</v>
      </c>
      <c r="Q253" t="s">
        <v>34</v>
      </c>
      <c r="R253">
        <v>310</v>
      </c>
      <c r="S253">
        <v>410</v>
      </c>
      <c r="T253">
        <v>0</v>
      </c>
    </row>
    <row r="254" spans="15:20" x14ac:dyDescent="0.3">
      <c r="O254">
        <v>253</v>
      </c>
      <c r="P254" t="s">
        <v>186</v>
      </c>
      <c r="Q254" t="s">
        <v>37</v>
      </c>
      <c r="R254">
        <v>219</v>
      </c>
      <c r="S254">
        <v>501</v>
      </c>
      <c r="T254">
        <v>0</v>
      </c>
    </row>
    <row r="255" spans="15:20" x14ac:dyDescent="0.3">
      <c r="O255">
        <v>254</v>
      </c>
      <c r="P255" t="s">
        <v>187</v>
      </c>
      <c r="Q255" t="s">
        <v>34</v>
      </c>
      <c r="R255">
        <v>286</v>
      </c>
      <c r="S255">
        <v>434</v>
      </c>
      <c r="T255">
        <v>0</v>
      </c>
    </row>
    <row r="256" spans="15:20" x14ac:dyDescent="0.3">
      <c r="O256">
        <v>255</v>
      </c>
      <c r="P256" t="s">
        <v>187</v>
      </c>
      <c r="Q256" t="s">
        <v>37</v>
      </c>
      <c r="R256">
        <v>296</v>
      </c>
      <c r="S256">
        <v>424</v>
      </c>
      <c r="T256">
        <v>0</v>
      </c>
    </row>
    <row r="257" spans="15:20" x14ac:dyDescent="0.3">
      <c r="O257">
        <v>256</v>
      </c>
      <c r="P257" t="s">
        <v>188</v>
      </c>
      <c r="Q257" t="s">
        <v>34</v>
      </c>
      <c r="R257">
        <v>343</v>
      </c>
      <c r="S257">
        <v>369</v>
      </c>
      <c r="T257">
        <v>7</v>
      </c>
    </row>
    <row r="258" spans="15:20" x14ac:dyDescent="0.3">
      <c r="O258">
        <v>257</v>
      </c>
      <c r="P258" t="s">
        <v>188</v>
      </c>
      <c r="Q258" t="s">
        <v>37</v>
      </c>
      <c r="R258">
        <v>0</v>
      </c>
      <c r="S258">
        <v>0</v>
      </c>
      <c r="T258">
        <v>720</v>
      </c>
    </row>
    <row r="259" spans="15:20" x14ac:dyDescent="0.3">
      <c r="O259">
        <v>258</v>
      </c>
      <c r="P259" t="s">
        <v>189</v>
      </c>
      <c r="Q259" t="s">
        <v>34</v>
      </c>
      <c r="R259">
        <v>0</v>
      </c>
      <c r="S259">
        <v>0</v>
      </c>
      <c r="T259">
        <v>720</v>
      </c>
    </row>
    <row r="260" spans="15:20" x14ac:dyDescent="0.3">
      <c r="O260">
        <v>259</v>
      </c>
      <c r="P260" t="s">
        <v>189</v>
      </c>
      <c r="Q260" t="s">
        <v>37</v>
      </c>
      <c r="R260">
        <v>0</v>
      </c>
      <c r="S260">
        <v>0</v>
      </c>
      <c r="T260">
        <v>720</v>
      </c>
    </row>
    <row r="261" spans="15:20" x14ac:dyDescent="0.3">
      <c r="O261">
        <v>260</v>
      </c>
      <c r="P261" t="s">
        <v>190</v>
      </c>
      <c r="Q261" t="s">
        <v>34</v>
      </c>
      <c r="R261">
        <v>65</v>
      </c>
      <c r="S261">
        <v>445</v>
      </c>
      <c r="T261">
        <v>209</v>
      </c>
    </row>
    <row r="262" spans="15:20" x14ac:dyDescent="0.3">
      <c r="O262">
        <v>261</v>
      </c>
      <c r="P262" t="s">
        <v>190</v>
      </c>
      <c r="Q262" t="s">
        <v>37</v>
      </c>
      <c r="R262">
        <v>257</v>
      </c>
      <c r="S262">
        <v>463</v>
      </c>
      <c r="T262">
        <v>0</v>
      </c>
    </row>
    <row r="263" spans="15:20" x14ac:dyDescent="0.3">
      <c r="O263">
        <v>262</v>
      </c>
      <c r="P263" t="s">
        <v>191</v>
      </c>
      <c r="Q263" t="s">
        <v>34</v>
      </c>
      <c r="R263">
        <v>322</v>
      </c>
      <c r="S263">
        <v>397</v>
      </c>
      <c r="T263">
        <v>0</v>
      </c>
    </row>
    <row r="264" spans="15:20" x14ac:dyDescent="0.3">
      <c r="O264">
        <v>263</v>
      </c>
      <c r="P264" t="s">
        <v>191</v>
      </c>
      <c r="Q264" t="s">
        <v>37</v>
      </c>
      <c r="R264">
        <v>257</v>
      </c>
      <c r="S264">
        <v>463</v>
      </c>
      <c r="T264">
        <v>0</v>
      </c>
    </row>
    <row r="265" spans="15:20" x14ac:dyDescent="0.3">
      <c r="O265">
        <v>264</v>
      </c>
      <c r="P265" t="s">
        <v>192</v>
      </c>
      <c r="Q265" t="s">
        <v>34</v>
      </c>
      <c r="R265">
        <v>353</v>
      </c>
      <c r="S265">
        <v>365</v>
      </c>
      <c r="T265">
        <v>1</v>
      </c>
    </row>
    <row r="266" spans="15:20" x14ac:dyDescent="0.3">
      <c r="O266">
        <v>265</v>
      </c>
      <c r="P266" t="s">
        <v>192</v>
      </c>
      <c r="Q266" t="s">
        <v>37</v>
      </c>
      <c r="R266">
        <v>243</v>
      </c>
      <c r="S266">
        <v>476</v>
      </c>
      <c r="T266">
        <v>0</v>
      </c>
    </row>
    <row r="267" spans="15:20" x14ac:dyDescent="0.3">
      <c r="O267">
        <v>266</v>
      </c>
      <c r="P267" t="s">
        <v>193</v>
      </c>
      <c r="Q267" t="s">
        <v>34</v>
      </c>
      <c r="R267">
        <v>280</v>
      </c>
      <c r="S267">
        <v>439</v>
      </c>
      <c r="T267">
        <v>0</v>
      </c>
    </row>
    <row r="268" spans="15:20" x14ac:dyDescent="0.3">
      <c r="O268">
        <v>267</v>
      </c>
      <c r="P268" t="s">
        <v>193</v>
      </c>
      <c r="Q268" t="s">
        <v>37</v>
      </c>
      <c r="R268">
        <v>207</v>
      </c>
      <c r="S268">
        <v>512</v>
      </c>
      <c r="T268">
        <v>0</v>
      </c>
    </row>
    <row r="269" spans="15:20" x14ac:dyDescent="0.3">
      <c r="O269">
        <v>268</v>
      </c>
      <c r="P269" t="s">
        <v>194</v>
      </c>
      <c r="Q269" t="s">
        <v>34</v>
      </c>
      <c r="R269">
        <v>344</v>
      </c>
      <c r="S269">
        <v>376</v>
      </c>
      <c r="T269">
        <v>0</v>
      </c>
    </row>
    <row r="270" spans="15:20" x14ac:dyDescent="0.3">
      <c r="O270">
        <v>269</v>
      </c>
      <c r="P270" t="s">
        <v>194</v>
      </c>
      <c r="Q270" t="s">
        <v>37</v>
      </c>
      <c r="R270">
        <v>263</v>
      </c>
      <c r="S270">
        <v>456</v>
      </c>
      <c r="T270">
        <v>0</v>
      </c>
    </row>
    <row r="271" spans="15:20" x14ac:dyDescent="0.3">
      <c r="O271">
        <v>270</v>
      </c>
      <c r="P271" t="s">
        <v>195</v>
      </c>
      <c r="Q271" t="s">
        <v>34</v>
      </c>
      <c r="R271">
        <v>720</v>
      </c>
      <c r="S271">
        <v>0</v>
      </c>
      <c r="T271">
        <v>0</v>
      </c>
    </row>
    <row r="272" spans="15:20" x14ac:dyDescent="0.3">
      <c r="O272">
        <v>271</v>
      </c>
      <c r="P272" t="s">
        <v>195</v>
      </c>
      <c r="Q272" t="s">
        <v>37</v>
      </c>
      <c r="R272">
        <v>93</v>
      </c>
      <c r="S272">
        <v>376</v>
      </c>
      <c r="T272">
        <v>251</v>
      </c>
    </row>
    <row r="273" spans="15:20" x14ac:dyDescent="0.3">
      <c r="O273">
        <v>272</v>
      </c>
      <c r="P273" t="s">
        <v>196</v>
      </c>
      <c r="Q273" t="s">
        <v>34</v>
      </c>
      <c r="R273">
        <v>0</v>
      </c>
      <c r="S273">
        <v>0</v>
      </c>
      <c r="T273">
        <v>720</v>
      </c>
    </row>
    <row r="274" spans="15:20" x14ac:dyDescent="0.3">
      <c r="O274">
        <v>273</v>
      </c>
      <c r="P274" t="s">
        <v>196</v>
      </c>
      <c r="Q274" t="s">
        <v>37</v>
      </c>
      <c r="R274">
        <v>0</v>
      </c>
      <c r="S274">
        <v>0</v>
      </c>
      <c r="T274">
        <v>720</v>
      </c>
    </row>
    <row r="275" spans="15:20" x14ac:dyDescent="0.3">
      <c r="O275">
        <v>274</v>
      </c>
      <c r="P275" t="s">
        <v>197</v>
      </c>
      <c r="Q275" t="s">
        <v>34</v>
      </c>
      <c r="R275">
        <v>85</v>
      </c>
      <c r="S275">
        <v>431</v>
      </c>
      <c r="T275">
        <v>203</v>
      </c>
    </row>
    <row r="276" spans="15:20" x14ac:dyDescent="0.3">
      <c r="O276">
        <v>275</v>
      </c>
      <c r="P276" t="s">
        <v>197</v>
      </c>
      <c r="Q276" t="s">
        <v>37</v>
      </c>
      <c r="R276">
        <v>316</v>
      </c>
      <c r="S276">
        <v>403</v>
      </c>
      <c r="T276">
        <v>0</v>
      </c>
    </row>
    <row r="277" spans="15:20" x14ac:dyDescent="0.3">
      <c r="O277">
        <v>276</v>
      </c>
      <c r="P277" t="s">
        <v>198</v>
      </c>
      <c r="Q277" t="s">
        <v>34</v>
      </c>
      <c r="R277">
        <v>291</v>
      </c>
      <c r="S277">
        <v>429</v>
      </c>
      <c r="T277">
        <v>0</v>
      </c>
    </row>
    <row r="278" spans="15:20" x14ac:dyDescent="0.3">
      <c r="O278">
        <v>277</v>
      </c>
      <c r="P278" t="s">
        <v>198</v>
      </c>
      <c r="Q278" t="s">
        <v>37</v>
      </c>
      <c r="R278">
        <v>217</v>
      </c>
      <c r="S278">
        <v>503</v>
      </c>
      <c r="T278">
        <v>0</v>
      </c>
    </row>
    <row r="279" spans="15:20" x14ac:dyDescent="0.3">
      <c r="O279">
        <v>278</v>
      </c>
      <c r="P279" t="s">
        <v>199</v>
      </c>
      <c r="Q279" t="s">
        <v>34</v>
      </c>
      <c r="R279">
        <v>321</v>
      </c>
      <c r="S279">
        <v>398</v>
      </c>
      <c r="T279">
        <v>0</v>
      </c>
    </row>
    <row r="280" spans="15:20" x14ac:dyDescent="0.3">
      <c r="O280">
        <v>279</v>
      </c>
      <c r="P280" t="s">
        <v>199</v>
      </c>
      <c r="Q280" t="s">
        <v>37</v>
      </c>
      <c r="R280">
        <v>217</v>
      </c>
      <c r="S280">
        <v>503</v>
      </c>
      <c r="T280">
        <v>0</v>
      </c>
    </row>
    <row r="281" spans="15:20" x14ac:dyDescent="0.3">
      <c r="O281">
        <v>280</v>
      </c>
      <c r="P281" t="s">
        <v>200</v>
      </c>
      <c r="Q281" t="s">
        <v>34</v>
      </c>
      <c r="R281">
        <v>259</v>
      </c>
      <c r="S281">
        <v>460</v>
      </c>
      <c r="T281">
        <v>0</v>
      </c>
    </row>
    <row r="282" spans="15:20" x14ac:dyDescent="0.3">
      <c r="O282">
        <v>281</v>
      </c>
      <c r="P282" t="s">
        <v>200</v>
      </c>
      <c r="Q282" t="s">
        <v>37</v>
      </c>
      <c r="R282">
        <v>304</v>
      </c>
      <c r="S282">
        <v>415</v>
      </c>
      <c r="T282">
        <v>0</v>
      </c>
    </row>
    <row r="283" spans="15:20" x14ac:dyDescent="0.3">
      <c r="O283">
        <v>282</v>
      </c>
      <c r="P283" t="s">
        <v>201</v>
      </c>
      <c r="Q283" t="s">
        <v>34</v>
      </c>
      <c r="R283">
        <v>345</v>
      </c>
      <c r="S283">
        <v>375</v>
      </c>
      <c r="T283">
        <v>0</v>
      </c>
    </row>
    <row r="284" spans="15:20" x14ac:dyDescent="0.3">
      <c r="O284">
        <v>283</v>
      </c>
      <c r="P284" t="s">
        <v>201</v>
      </c>
      <c r="Q284" t="s">
        <v>37</v>
      </c>
      <c r="R284">
        <v>174</v>
      </c>
      <c r="S284">
        <v>389</v>
      </c>
      <c r="T284">
        <v>157</v>
      </c>
    </row>
    <row r="285" spans="15:20" x14ac:dyDescent="0.3">
      <c r="O285">
        <v>284</v>
      </c>
      <c r="P285" t="s">
        <v>202</v>
      </c>
      <c r="Q285" t="s">
        <v>34</v>
      </c>
      <c r="R285">
        <v>71</v>
      </c>
      <c r="S285">
        <v>130</v>
      </c>
      <c r="T285">
        <v>517</v>
      </c>
    </row>
    <row r="286" spans="15:20" x14ac:dyDescent="0.3">
      <c r="O286">
        <v>285</v>
      </c>
      <c r="P286" t="s">
        <v>202</v>
      </c>
      <c r="Q286" t="s">
        <v>37</v>
      </c>
      <c r="R286">
        <v>0</v>
      </c>
      <c r="S286">
        <v>0</v>
      </c>
      <c r="T286">
        <v>720</v>
      </c>
    </row>
    <row r="287" spans="15:20" x14ac:dyDescent="0.3">
      <c r="O287">
        <v>286</v>
      </c>
      <c r="P287" t="s">
        <v>203</v>
      </c>
      <c r="Q287" t="s">
        <v>34</v>
      </c>
      <c r="R287">
        <v>0</v>
      </c>
      <c r="S287">
        <v>0</v>
      </c>
      <c r="T287">
        <v>720</v>
      </c>
    </row>
    <row r="288" spans="15:20" x14ac:dyDescent="0.3">
      <c r="O288">
        <v>287</v>
      </c>
      <c r="P288" t="s">
        <v>203</v>
      </c>
      <c r="Q288" t="s">
        <v>37</v>
      </c>
      <c r="R288">
        <v>0</v>
      </c>
      <c r="S288">
        <v>0</v>
      </c>
      <c r="T288">
        <v>720</v>
      </c>
    </row>
    <row r="289" spans="15:20" x14ac:dyDescent="0.3">
      <c r="O289">
        <v>288</v>
      </c>
      <c r="P289" t="s">
        <v>204</v>
      </c>
      <c r="Q289" t="s">
        <v>34</v>
      </c>
      <c r="R289">
        <v>102</v>
      </c>
      <c r="S289">
        <v>413</v>
      </c>
      <c r="T289">
        <v>204</v>
      </c>
    </row>
    <row r="290" spans="15:20" x14ac:dyDescent="0.3">
      <c r="O290">
        <v>289</v>
      </c>
      <c r="P290" t="s">
        <v>204</v>
      </c>
      <c r="Q290" t="s">
        <v>37</v>
      </c>
      <c r="R290">
        <v>248</v>
      </c>
      <c r="S290">
        <v>472</v>
      </c>
      <c r="T290">
        <v>0</v>
      </c>
    </row>
    <row r="291" spans="15:20" x14ac:dyDescent="0.3">
      <c r="O291">
        <v>290</v>
      </c>
      <c r="P291" t="s">
        <v>205</v>
      </c>
      <c r="Q291" t="s">
        <v>34</v>
      </c>
      <c r="R291">
        <v>396</v>
      </c>
      <c r="S291">
        <v>324</v>
      </c>
      <c r="T291">
        <v>0</v>
      </c>
    </row>
    <row r="292" spans="15:20" x14ac:dyDescent="0.3">
      <c r="O292">
        <v>291</v>
      </c>
      <c r="P292" t="s">
        <v>205</v>
      </c>
      <c r="Q292" t="s">
        <v>37</v>
      </c>
      <c r="R292">
        <v>231</v>
      </c>
      <c r="S292">
        <v>488</v>
      </c>
      <c r="T292">
        <v>0</v>
      </c>
    </row>
    <row r="293" spans="15:20" x14ac:dyDescent="0.3">
      <c r="O293">
        <v>292</v>
      </c>
      <c r="P293" t="s">
        <v>206</v>
      </c>
      <c r="Q293" t="s">
        <v>34</v>
      </c>
      <c r="R293">
        <v>403</v>
      </c>
      <c r="S293">
        <v>317</v>
      </c>
      <c r="T293">
        <v>0</v>
      </c>
    </row>
    <row r="294" spans="15:20" x14ac:dyDescent="0.3">
      <c r="O294">
        <v>293</v>
      </c>
      <c r="P294" t="s">
        <v>206</v>
      </c>
      <c r="Q294" t="s">
        <v>37</v>
      </c>
      <c r="R294">
        <v>241</v>
      </c>
      <c r="S294">
        <v>479</v>
      </c>
      <c r="T294">
        <v>0</v>
      </c>
    </row>
    <row r="295" spans="15:20" x14ac:dyDescent="0.3">
      <c r="O295">
        <v>294</v>
      </c>
      <c r="P295" t="s">
        <v>207</v>
      </c>
      <c r="Q295" t="s">
        <v>34</v>
      </c>
      <c r="R295">
        <v>346</v>
      </c>
      <c r="S295">
        <v>373</v>
      </c>
      <c r="T295">
        <v>0</v>
      </c>
    </row>
    <row r="296" spans="15:20" x14ac:dyDescent="0.3">
      <c r="O296">
        <v>295</v>
      </c>
      <c r="P296" t="s">
        <v>207</v>
      </c>
      <c r="Q296" t="s">
        <v>37</v>
      </c>
      <c r="R296">
        <v>288</v>
      </c>
      <c r="S296">
        <v>432</v>
      </c>
      <c r="T296">
        <v>0</v>
      </c>
    </row>
    <row r="297" spans="15:20" x14ac:dyDescent="0.3">
      <c r="O297">
        <v>296</v>
      </c>
      <c r="P297" t="s">
        <v>208</v>
      </c>
      <c r="Q297" t="s">
        <v>34</v>
      </c>
      <c r="R297">
        <v>426</v>
      </c>
      <c r="S297">
        <v>294</v>
      </c>
      <c r="T297">
        <v>0</v>
      </c>
    </row>
    <row r="298" spans="15:20" x14ac:dyDescent="0.3">
      <c r="O298">
        <v>297</v>
      </c>
      <c r="P298" t="s">
        <v>208</v>
      </c>
      <c r="Q298" t="s">
        <v>37</v>
      </c>
      <c r="R298">
        <v>43</v>
      </c>
      <c r="S298">
        <v>519</v>
      </c>
      <c r="T298">
        <v>157</v>
      </c>
    </row>
    <row r="299" spans="15:20" x14ac:dyDescent="0.3">
      <c r="O299">
        <v>298</v>
      </c>
      <c r="P299" t="s">
        <v>209</v>
      </c>
      <c r="Q299" t="s">
        <v>34</v>
      </c>
      <c r="R299">
        <v>0</v>
      </c>
      <c r="S299">
        <v>0</v>
      </c>
      <c r="T299">
        <v>720</v>
      </c>
    </row>
    <row r="300" spans="15:20" x14ac:dyDescent="0.3">
      <c r="O300">
        <v>299</v>
      </c>
      <c r="P300" t="s">
        <v>209</v>
      </c>
      <c r="Q300" t="s">
        <v>37</v>
      </c>
      <c r="R300">
        <v>0</v>
      </c>
      <c r="S300">
        <v>0</v>
      </c>
      <c r="T300">
        <v>720</v>
      </c>
    </row>
    <row r="301" spans="15:20" x14ac:dyDescent="0.3">
      <c r="O301">
        <v>300</v>
      </c>
      <c r="P301" t="s">
        <v>210</v>
      </c>
      <c r="Q301" t="s">
        <v>34</v>
      </c>
      <c r="R301">
        <v>0</v>
      </c>
      <c r="S301">
        <v>0</v>
      </c>
      <c r="T301">
        <v>701</v>
      </c>
    </row>
    <row r="302" spans="15:20" x14ac:dyDescent="0.3">
      <c r="O302">
        <v>301</v>
      </c>
      <c r="P302" t="s">
        <v>210</v>
      </c>
      <c r="Q302" t="s">
        <v>37</v>
      </c>
      <c r="R302">
        <v>0</v>
      </c>
      <c r="S302">
        <v>0</v>
      </c>
      <c r="T302">
        <v>720</v>
      </c>
    </row>
    <row r="303" spans="15:20" x14ac:dyDescent="0.3">
      <c r="O303">
        <v>302</v>
      </c>
      <c r="P303" t="s">
        <v>33</v>
      </c>
      <c r="Q303" t="s">
        <v>34</v>
      </c>
      <c r="R303">
        <v>75</v>
      </c>
      <c r="S303">
        <v>441</v>
      </c>
      <c r="T303">
        <v>202</v>
      </c>
    </row>
    <row r="304" spans="15:20" x14ac:dyDescent="0.3">
      <c r="O304">
        <v>303</v>
      </c>
      <c r="P304" t="s">
        <v>33</v>
      </c>
      <c r="Q304" t="s">
        <v>37</v>
      </c>
      <c r="R304">
        <v>343</v>
      </c>
      <c r="S304">
        <v>377</v>
      </c>
      <c r="T304">
        <v>0</v>
      </c>
    </row>
    <row r="305" spans="15:20" x14ac:dyDescent="0.3">
      <c r="O305">
        <v>304</v>
      </c>
      <c r="P305" t="s">
        <v>39</v>
      </c>
      <c r="Q305" t="s">
        <v>34</v>
      </c>
      <c r="R305">
        <v>304</v>
      </c>
      <c r="S305">
        <v>416</v>
      </c>
      <c r="T305">
        <v>0</v>
      </c>
    </row>
    <row r="306" spans="15:20" x14ac:dyDescent="0.3">
      <c r="O306">
        <v>305</v>
      </c>
      <c r="P306" t="s">
        <v>39</v>
      </c>
      <c r="Q306" t="s">
        <v>37</v>
      </c>
      <c r="R306">
        <v>276</v>
      </c>
      <c r="S306">
        <v>443</v>
      </c>
      <c r="T306">
        <v>0</v>
      </c>
    </row>
    <row r="307" spans="15:20" x14ac:dyDescent="0.3">
      <c r="O307">
        <v>306</v>
      </c>
      <c r="P307" t="s">
        <v>43</v>
      </c>
      <c r="Q307" t="s">
        <v>34</v>
      </c>
      <c r="R307">
        <v>338</v>
      </c>
      <c r="S307">
        <v>382</v>
      </c>
      <c r="T307">
        <v>0</v>
      </c>
    </row>
    <row r="308" spans="15:20" x14ac:dyDescent="0.3">
      <c r="O308">
        <v>307</v>
      </c>
      <c r="P308" t="s">
        <v>43</v>
      </c>
      <c r="Q308" t="s">
        <v>37</v>
      </c>
      <c r="R308">
        <v>251</v>
      </c>
      <c r="S308">
        <v>468</v>
      </c>
      <c r="T308">
        <v>0</v>
      </c>
    </row>
    <row r="309" spans="15:20" x14ac:dyDescent="0.3">
      <c r="O309">
        <v>308</v>
      </c>
      <c r="P309" t="s">
        <v>48</v>
      </c>
      <c r="Q309" t="s">
        <v>34</v>
      </c>
      <c r="R309">
        <v>317</v>
      </c>
      <c r="S309">
        <v>403</v>
      </c>
      <c r="T309">
        <v>0</v>
      </c>
    </row>
    <row r="310" spans="15:20" x14ac:dyDescent="0.3">
      <c r="O310">
        <v>309</v>
      </c>
      <c r="P310" t="s">
        <v>48</v>
      </c>
      <c r="Q310" t="s">
        <v>37</v>
      </c>
      <c r="R310">
        <v>546</v>
      </c>
      <c r="S310">
        <v>818</v>
      </c>
      <c r="T310">
        <v>1</v>
      </c>
    </row>
    <row r="311" spans="15:20" x14ac:dyDescent="0.3">
      <c r="O311">
        <v>310</v>
      </c>
      <c r="P311" t="s">
        <v>52</v>
      </c>
      <c r="Q311" t="s">
        <v>34</v>
      </c>
      <c r="R311">
        <v>482</v>
      </c>
      <c r="S311">
        <v>0</v>
      </c>
      <c r="T311">
        <v>478</v>
      </c>
    </row>
    <row r="312" spans="15:20" x14ac:dyDescent="0.3">
      <c r="O312">
        <v>311</v>
      </c>
      <c r="P312" t="s">
        <v>52</v>
      </c>
      <c r="Q312" t="s">
        <v>37</v>
      </c>
      <c r="R312">
        <v>565</v>
      </c>
      <c r="S312">
        <v>714</v>
      </c>
      <c r="T312">
        <v>161</v>
      </c>
    </row>
    <row r="313" spans="15:20" x14ac:dyDescent="0.3">
      <c r="O313">
        <v>312</v>
      </c>
      <c r="P313" t="s">
        <v>56</v>
      </c>
      <c r="Q313" t="s">
        <v>34</v>
      </c>
      <c r="R313">
        <v>720</v>
      </c>
      <c r="S313">
        <v>0</v>
      </c>
      <c r="T313">
        <v>720</v>
      </c>
    </row>
    <row r="314" spans="15:20" x14ac:dyDescent="0.3">
      <c r="O314">
        <v>313</v>
      </c>
      <c r="P314" t="s">
        <v>56</v>
      </c>
      <c r="Q314" t="s">
        <v>37</v>
      </c>
      <c r="R314">
        <v>352</v>
      </c>
      <c r="S314">
        <v>580</v>
      </c>
      <c r="T314">
        <v>259</v>
      </c>
    </row>
    <row r="315" spans="15:20" x14ac:dyDescent="0.3">
      <c r="O315">
        <v>314</v>
      </c>
      <c r="P315" t="s">
        <v>60</v>
      </c>
      <c r="Q315" t="s">
        <v>34</v>
      </c>
      <c r="R315">
        <v>0</v>
      </c>
      <c r="S315">
        <v>0</v>
      </c>
      <c r="T315">
        <v>720</v>
      </c>
    </row>
    <row r="316" spans="15:20" x14ac:dyDescent="0.3">
      <c r="O316">
        <v>315</v>
      </c>
      <c r="P316" t="s">
        <v>60</v>
      </c>
      <c r="Q316" t="s">
        <v>37</v>
      </c>
      <c r="R316">
        <v>0</v>
      </c>
      <c r="S316">
        <v>0</v>
      </c>
      <c r="T316">
        <v>720</v>
      </c>
    </row>
    <row r="317" spans="15:20" x14ac:dyDescent="0.3">
      <c r="O317">
        <v>316</v>
      </c>
      <c r="P317" t="s">
        <v>62</v>
      </c>
      <c r="Q317" t="s">
        <v>34</v>
      </c>
      <c r="R317">
        <v>312</v>
      </c>
      <c r="S317">
        <v>722</v>
      </c>
      <c r="T317">
        <v>203</v>
      </c>
    </row>
    <row r="318" spans="15:20" x14ac:dyDescent="0.3">
      <c r="O318">
        <v>317</v>
      </c>
      <c r="P318" t="s">
        <v>62</v>
      </c>
      <c r="Q318" t="s">
        <v>37</v>
      </c>
      <c r="R318">
        <v>566</v>
      </c>
      <c r="S318">
        <v>874</v>
      </c>
      <c r="T318">
        <v>1</v>
      </c>
    </row>
    <row r="319" spans="15:20" x14ac:dyDescent="0.3">
      <c r="O319">
        <v>318</v>
      </c>
      <c r="P319" t="s">
        <v>64</v>
      </c>
      <c r="Q319" t="s">
        <v>34</v>
      </c>
      <c r="R319">
        <v>690</v>
      </c>
      <c r="S319">
        <v>749</v>
      </c>
      <c r="T319">
        <v>1</v>
      </c>
    </row>
    <row r="320" spans="15:20" x14ac:dyDescent="0.3">
      <c r="O320">
        <v>319</v>
      </c>
      <c r="P320" t="s">
        <v>64</v>
      </c>
      <c r="Q320" t="s">
        <v>37</v>
      </c>
      <c r="R320">
        <v>487</v>
      </c>
      <c r="S320">
        <v>951</v>
      </c>
      <c r="T320">
        <v>1</v>
      </c>
    </row>
    <row r="321" spans="15:20" x14ac:dyDescent="0.3">
      <c r="O321">
        <v>320</v>
      </c>
      <c r="P321" t="s">
        <v>66</v>
      </c>
      <c r="Q321" t="s">
        <v>34</v>
      </c>
      <c r="R321">
        <v>714</v>
      </c>
      <c r="S321">
        <v>726</v>
      </c>
      <c r="T321">
        <v>1</v>
      </c>
    </row>
    <row r="322" spans="15:20" x14ac:dyDescent="0.3">
      <c r="O322">
        <v>321</v>
      </c>
      <c r="P322" t="s">
        <v>66</v>
      </c>
      <c r="Q322" t="s">
        <v>37</v>
      </c>
      <c r="R322">
        <v>475</v>
      </c>
      <c r="S322">
        <v>964</v>
      </c>
      <c r="T322">
        <v>1</v>
      </c>
    </row>
    <row r="323" spans="15:20" x14ac:dyDescent="0.3">
      <c r="O323">
        <v>322</v>
      </c>
      <c r="P323" t="s">
        <v>68</v>
      </c>
      <c r="Q323" t="s">
        <v>34</v>
      </c>
      <c r="R323">
        <v>714</v>
      </c>
      <c r="S323">
        <v>725</v>
      </c>
      <c r="T323">
        <v>1</v>
      </c>
    </row>
    <row r="324" spans="15:20" x14ac:dyDescent="0.3">
      <c r="O324">
        <v>323</v>
      </c>
      <c r="P324" t="s">
        <v>68</v>
      </c>
      <c r="Q324" t="s">
        <v>37</v>
      </c>
      <c r="R324">
        <v>549</v>
      </c>
      <c r="S324">
        <v>889</v>
      </c>
      <c r="T324">
        <v>1</v>
      </c>
    </row>
    <row r="325" spans="15:20" x14ac:dyDescent="0.3">
      <c r="O325">
        <v>324</v>
      </c>
      <c r="P325" t="s">
        <v>70</v>
      </c>
      <c r="Q325" t="s">
        <v>34</v>
      </c>
      <c r="R325">
        <v>804</v>
      </c>
      <c r="S325">
        <v>636</v>
      </c>
      <c r="T325">
        <v>1</v>
      </c>
    </row>
    <row r="326" spans="15:20" x14ac:dyDescent="0.3">
      <c r="O326">
        <v>325</v>
      </c>
      <c r="P326" t="s">
        <v>70</v>
      </c>
      <c r="Q326" t="s">
        <v>37</v>
      </c>
      <c r="R326">
        <v>605</v>
      </c>
      <c r="S326">
        <v>835</v>
      </c>
      <c r="T326">
        <v>1</v>
      </c>
    </row>
    <row r="327" spans="15:20" x14ac:dyDescent="0.3">
      <c r="O327">
        <v>326</v>
      </c>
      <c r="P327" t="s">
        <v>72</v>
      </c>
      <c r="Q327" t="s">
        <v>34</v>
      </c>
      <c r="R327">
        <v>1440</v>
      </c>
      <c r="S327">
        <v>0</v>
      </c>
      <c r="T327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26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  <col min="23" max="23" width="9.88671875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1848</v>
      </c>
      <c r="E2">
        <v>1756</v>
      </c>
      <c r="F2">
        <v>1421</v>
      </c>
      <c r="H2" t="s">
        <v>35</v>
      </c>
      <c r="I2" s="1">
        <v>0.46588235294117653</v>
      </c>
      <c r="J2" s="1">
        <v>0.47936842105263172</v>
      </c>
      <c r="K2" s="1">
        <f>IFERROR(SUMIFS(S:S,P:P,"*/01/2026")/(SUMIFS(R:R,P:P,"*/01/2026")+SUMIFS(S:S,P:P,"*/01/2026")+SUMIFS(T:T,P:P,"*/01/2026")),"")</f>
        <v>0.27141934859098099</v>
      </c>
      <c r="L2" s="1">
        <f>IFERROR(SUMIFS(R:R,P:P,"*/01/2026")/(SUMIFS(R:R,P:P,"*/01/2026")+SUMIFS(S:S,P:P,"*/01/2026")+SUMIFS(T:T,P:P,"*/01/2026")),"")</f>
        <v>0.30444171858355662</v>
      </c>
      <c r="M2" s="1">
        <f>IFERROR(SUMIFS(T:T,P:P,"*/01/2026")/(SUMIFS(R:R,P:P,"*/01/2026")+SUMIFS(S:S,P:P,"*/01/2026")+SUMIFS(T:T,P:P,"*/01/2026")),"")</f>
        <v>0.42413893282546239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5040</v>
      </c>
    </row>
    <row r="3" spans="1:20" x14ac:dyDescent="0.3">
      <c r="A3">
        <v>2</v>
      </c>
      <c r="B3" t="s">
        <v>33</v>
      </c>
      <c r="C3" t="s">
        <v>37</v>
      </c>
      <c r="D3">
        <v>2126</v>
      </c>
      <c r="E3">
        <v>1771</v>
      </c>
      <c r="F3">
        <v>1128</v>
      </c>
      <c r="H3" t="s">
        <v>38</v>
      </c>
      <c r="I3" s="1">
        <v>0.46588235294117653</v>
      </c>
      <c r="J3" s="1">
        <v>0.47936842105263172</v>
      </c>
      <c r="K3" s="1">
        <f>IFERROR(SUMIFS(S:S,P:P,"*/02/2026")/(SUMIFS(R:R,P:P,"*/02/2026")+SUMIFS(S:S,P:P,"*/02/2026")+SUMIFS(T:T,P:P,"*/02/2026")),"")</f>
        <v>0.21431030627420219</v>
      </c>
      <c r="L3" s="1">
        <f>IFERROR(SUMIFS(R:R,P:P,"*/02/2026")/(SUMIFS(R:R,P:P,"*/02/2026")+SUMIFS(S:S,P:P,"*/02/2026")+SUMIFS(T:T,P:P,"*/02/2026")),"")</f>
        <v>0.21273084144657681</v>
      </c>
      <c r="M3" s="1">
        <f>IFERROR(SUMIFS(T:T,P:P,"*/02/2026")/(SUMIFS(R:R,P:P,"*/02/2026")+SUMIFS(S:S,P:P,"*/02/2026")+SUMIFS(T:T,P:P,"*/02/2026")),"")</f>
        <v>0.57295885227922094</v>
      </c>
      <c r="O3">
        <v>2</v>
      </c>
      <c r="P3" t="s">
        <v>36</v>
      </c>
      <c r="Q3" t="s">
        <v>37</v>
      </c>
      <c r="R3">
        <v>302</v>
      </c>
      <c r="S3">
        <v>165</v>
      </c>
      <c r="T3">
        <v>4563</v>
      </c>
    </row>
    <row r="4" spans="1:20" x14ac:dyDescent="0.3">
      <c r="A4">
        <v>3</v>
      </c>
      <c r="B4" t="s">
        <v>39</v>
      </c>
      <c r="C4" t="s">
        <v>34</v>
      </c>
      <c r="D4">
        <v>1977</v>
      </c>
      <c r="E4">
        <v>1629</v>
      </c>
      <c r="F4">
        <v>1420</v>
      </c>
      <c r="H4" t="s">
        <v>40</v>
      </c>
      <c r="I4" s="1">
        <v>0.46588235294117653</v>
      </c>
      <c r="J4" s="1">
        <v>0.47936842105263172</v>
      </c>
      <c r="K4" s="1">
        <f>IFERROR(SUMIFS(S:S,P:P,"*/03/2026")/(SUMIFS(R:R,P:P,"*/03/2026")+SUMIFS(S:S,P:P,"*/03/2026")+SUMIFS(T:T,P:P,"*/03/2026")),"")</f>
        <v>0.28633025580903065</v>
      </c>
      <c r="L4" s="1">
        <f>IFERROR(SUMIFS(R:R,P:P,"*/03/2026")/(SUMIFS(R:R,P:P,"*/03/2026")+SUMIFS(S:S,P:P,"*/03/2026")+SUMIFS(T:T,P:P,"*/03/2026")),"")</f>
        <v>0.30099815999869733</v>
      </c>
      <c r="M4" s="1">
        <f>IFERROR(SUMIFS(T:T,P:P,"*/03/2026")/(SUMIFS(R:R,P:P,"*/03/2026")+SUMIFS(S:S,P:P,"*/03/2026")+SUMIFS(T:T,P:P,"*/03/2026")),"")</f>
        <v>0.41267158419227201</v>
      </c>
      <c r="O4">
        <v>3</v>
      </c>
      <c r="P4" t="s">
        <v>41</v>
      </c>
      <c r="Q4" t="s">
        <v>34</v>
      </c>
      <c r="R4">
        <v>2503</v>
      </c>
      <c r="S4">
        <v>2519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2068</v>
      </c>
      <c r="E5">
        <v>1820</v>
      </c>
      <c r="F5">
        <v>1137</v>
      </c>
      <c r="H5" t="s">
        <v>42</v>
      </c>
      <c r="I5" s="1">
        <v>0.46588235294117653</v>
      </c>
      <c r="J5" s="1">
        <v>0.47936842105263172</v>
      </c>
      <c r="K5" s="1">
        <f>IFERROR(SUMIFS(S:S,P:P,"*/04/2026")/(SUMIFS(R:R,P:P,"*/04/2026")+SUMIFS(S:S,P:P,"*/04/2026")+SUMIFS(T:T,P:P,"*/04/2026")),"")</f>
        <v>0.24688178458376839</v>
      </c>
      <c r="L5" s="1">
        <f>IFERROR(SUMIFS(R:R,P:P,"*/04/2026")/(SUMIFS(R:R,P:P,"*/04/2026")+SUMIFS(S:S,P:P,"*/04/2026")+SUMIFS(T:T,P:P,"*/04/2026")),"")</f>
        <v>0.29999834269709474</v>
      </c>
      <c r="M5" s="1">
        <f>IFERROR(SUMIFS(T:T,P:P,"*/04/2026")/(SUMIFS(R:R,P:P,"*/04/2026")+SUMIFS(S:S,P:P,"*/04/2026")+SUMIFS(T:T,P:P,"*/04/2026")),"")</f>
        <v>0.4531198727191369</v>
      </c>
      <c r="O5">
        <v>4</v>
      </c>
      <c r="P5" t="s">
        <v>41</v>
      </c>
      <c r="Q5" t="s">
        <v>37</v>
      </c>
      <c r="R5">
        <v>1273</v>
      </c>
      <c r="S5">
        <v>933</v>
      </c>
      <c r="T5">
        <v>2822</v>
      </c>
    </row>
    <row r="6" spans="1:20" x14ac:dyDescent="0.3">
      <c r="A6">
        <v>5</v>
      </c>
      <c r="B6" t="s">
        <v>43</v>
      </c>
      <c r="C6" t="s">
        <v>34</v>
      </c>
      <c r="D6">
        <v>1831</v>
      </c>
      <c r="E6">
        <v>1766</v>
      </c>
      <c r="F6">
        <v>1428</v>
      </c>
      <c r="H6" t="s">
        <v>44</v>
      </c>
      <c r="I6" s="1">
        <v>0.46588235294117653</v>
      </c>
      <c r="J6" s="1">
        <v>0.47936842105263172</v>
      </c>
      <c r="K6" s="1">
        <f>IFERROR(SUMIFS(S:S,P:P,"*/05/2026")/(SUMIFS(R:R,P:P,"*/05/2026")+SUMIFS(S:S,P:P,"*/05/2026")+SUMIFS(T:T,P:P,"*/05/2026")),"")</f>
        <v>0.24203132921343268</v>
      </c>
      <c r="L6" s="1">
        <f>IFERROR(SUMIFS(R:R,P:P,"*/05/2026")/(SUMIFS(R:R,P:P,"*/05/2026")+SUMIFS(S:S,P:P,"*/05/2026")+SUMIFS(T:T,P:P,"*/05/2026")),"")</f>
        <v>0.30970486879849063</v>
      </c>
      <c r="M6" s="1">
        <f>IFERROR(SUMIFS(T:T,P:P,"*/05/2026")/(SUMIFS(R:R,P:P,"*/05/2026")+SUMIFS(S:S,P:P,"*/05/2026")+SUMIFS(T:T,P:P,"*/05/2026")),"")</f>
        <v>0.44826380198807669</v>
      </c>
      <c r="O6">
        <v>5</v>
      </c>
      <c r="P6" t="s">
        <v>45</v>
      </c>
      <c r="Q6" t="s">
        <v>37</v>
      </c>
      <c r="R6">
        <v>3888</v>
      </c>
      <c r="S6">
        <v>2993</v>
      </c>
      <c r="T6">
        <v>1289</v>
      </c>
    </row>
    <row r="7" spans="1:20" x14ac:dyDescent="0.3">
      <c r="A7">
        <v>6</v>
      </c>
      <c r="B7" t="s">
        <v>43</v>
      </c>
      <c r="C7" t="s">
        <v>37</v>
      </c>
      <c r="D7">
        <v>1994</v>
      </c>
      <c r="E7">
        <v>1840</v>
      </c>
      <c r="F7">
        <v>1189</v>
      </c>
      <c r="H7" t="s">
        <v>46</v>
      </c>
      <c r="I7" s="1">
        <v>0.46588235294117653</v>
      </c>
      <c r="J7" s="1">
        <v>0.47936842105263172</v>
      </c>
      <c r="K7" s="1">
        <f>IFERROR(SUMIFS(S:S,P:P,"*/06/2026")/(SUMIFS(R:R,P:P,"*/06/2026")+SUMIFS(S:S,P:P,"*/06/2026")+SUMIFS(T:T,P:P,"*/06/2026")),"")</f>
        <v>0.30300160743558319</v>
      </c>
      <c r="L7" s="1">
        <f>IFERROR(SUMIFS(R:R,P:P,"*/06/2026")/(SUMIFS(R:R,P:P,"*/06/2026")+SUMIFS(S:S,P:P,"*/06/2026")+SUMIFS(T:T,P:P,"*/06/2026")),"")</f>
        <v>0.35155889421164038</v>
      </c>
      <c r="M7" s="1">
        <f>IFERROR(SUMIFS(T:T,P:P,"*/06/2026")/(SUMIFS(R:R,P:P,"*/06/2026")+SUMIFS(S:S,P:P,"*/06/2026")+SUMIFS(T:T,P:P,"*/06/2026")),"")</f>
        <v>0.34543949835277643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5040</v>
      </c>
    </row>
    <row r="8" spans="1:20" x14ac:dyDescent="0.3">
      <c r="A8">
        <v>7</v>
      </c>
      <c r="B8" t="s">
        <v>48</v>
      </c>
      <c r="C8" t="s">
        <v>34</v>
      </c>
      <c r="D8">
        <v>1795</v>
      </c>
      <c r="E8">
        <v>1816</v>
      </c>
      <c r="F8">
        <v>1416</v>
      </c>
      <c r="H8" t="s">
        <v>49</v>
      </c>
      <c r="I8" s="1">
        <v>0.46588235294117653</v>
      </c>
      <c r="J8" s="1">
        <v>0.47936842105263172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5040</v>
      </c>
    </row>
    <row r="9" spans="1:20" x14ac:dyDescent="0.3">
      <c r="A9">
        <v>8</v>
      </c>
      <c r="B9" t="s">
        <v>48</v>
      </c>
      <c r="C9" t="s">
        <v>37</v>
      </c>
      <c r="D9">
        <v>2105</v>
      </c>
      <c r="E9">
        <v>1741</v>
      </c>
      <c r="F9">
        <v>1177</v>
      </c>
      <c r="H9" t="s">
        <v>50</v>
      </c>
      <c r="I9" s="1">
        <v>0.46588235294117653</v>
      </c>
      <c r="J9" s="1">
        <v>0.47936842105263172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2077</v>
      </c>
      <c r="S9">
        <v>1290</v>
      </c>
      <c r="T9">
        <v>1657</v>
      </c>
    </row>
    <row r="10" spans="1:20" x14ac:dyDescent="0.3">
      <c r="A10">
        <v>9</v>
      </c>
      <c r="B10" t="s">
        <v>52</v>
      </c>
      <c r="C10" t="s">
        <v>34</v>
      </c>
      <c r="D10">
        <v>1643</v>
      </c>
      <c r="E10">
        <v>1955</v>
      </c>
      <c r="F10">
        <v>1430</v>
      </c>
      <c r="H10" t="s">
        <v>53</v>
      </c>
      <c r="I10" s="1">
        <v>0.46588235294117653</v>
      </c>
      <c r="J10" s="1">
        <v>0.47936842105263172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2266</v>
      </c>
      <c r="S10">
        <v>1450</v>
      </c>
      <c r="T10">
        <v>1250</v>
      </c>
    </row>
    <row r="11" spans="1:20" x14ac:dyDescent="0.3">
      <c r="A11">
        <v>10</v>
      </c>
      <c r="B11" t="s">
        <v>52</v>
      </c>
      <c r="C11" t="s">
        <v>37</v>
      </c>
      <c r="D11">
        <v>2176</v>
      </c>
      <c r="E11">
        <v>1699</v>
      </c>
      <c r="F11">
        <v>1149</v>
      </c>
      <c r="H11" t="s">
        <v>54</v>
      </c>
      <c r="I11" s="1">
        <v>0.46588235294117653</v>
      </c>
      <c r="J11" s="1">
        <v>0.47936842105263172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1993</v>
      </c>
      <c r="S11">
        <v>1578</v>
      </c>
      <c r="T11">
        <v>1455</v>
      </c>
    </row>
    <row r="12" spans="1:20" x14ac:dyDescent="0.3">
      <c r="A12">
        <v>11</v>
      </c>
      <c r="B12" t="s">
        <v>56</v>
      </c>
      <c r="C12" t="s">
        <v>34</v>
      </c>
      <c r="D12">
        <v>1788</v>
      </c>
      <c r="E12">
        <v>1313</v>
      </c>
      <c r="F12">
        <v>1921</v>
      </c>
      <c r="H12" t="s">
        <v>57</v>
      </c>
      <c r="I12" s="1">
        <v>0.46588235294117653</v>
      </c>
      <c r="J12" s="1">
        <v>0.47936842105263172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2314</v>
      </c>
      <c r="S12">
        <v>1598</v>
      </c>
      <c r="T12">
        <v>1111</v>
      </c>
    </row>
    <row r="13" spans="1:20" x14ac:dyDescent="0.3">
      <c r="A13">
        <v>12</v>
      </c>
      <c r="B13" t="s">
        <v>56</v>
      </c>
      <c r="C13" t="s">
        <v>37</v>
      </c>
      <c r="D13">
        <v>1637</v>
      </c>
      <c r="E13">
        <v>1385</v>
      </c>
      <c r="F13">
        <v>2005</v>
      </c>
      <c r="H13" t="s">
        <v>58</v>
      </c>
      <c r="I13" s="1">
        <v>0.46588235294117653</v>
      </c>
      <c r="J13" s="1">
        <v>0.47936842105263172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432</v>
      </c>
      <c r="S13">
        <v>484</v>
      </c>
      <c r="T13">
        <v>4117</v>
      </c>
    </row>
    <row r="14" spans="1:20" x14ac:dyDescent="0.3">
      <c r="A14">
        <v>13</v>
      </c>
      <c r="B14" t="s">
        <v>60</v>
      </c>
      <c r="C14" t="s">
        <v>34</v>
      </c>
      <c r="D14">
        <v>0</v>
      </c>
      <c r="E14">
        <v>0</v>
      </c>
      <c r="F14">
        <v>5041</v>
      </c>
      <c r="H14" t="str">
        <f>IF(B2="","",TEXT(B2,"dd/mm")&amp; "-" &amp;IF(UPPER(TRIM(C2))="CN",1,IF(UPPER(TRIM(C2))="CD",2,"")))</f>
        <v>01/06-1</v>
      </c>
      <c r="I14" s="1">
        <v>0.46588235294117653</v>
      </c>
      <c r="J14" s="1">
        <v>0.47936842105263172</v>
      </c>
      <c r="K14" s="1">
        <f t="shared" ref="K14:K45" si="0">IFERROR($E2/SUM($D2:$F2),"")</f>
        <v>0.34945273631840795</v>
      </c>
      <c r="L14" s="1">
        <f t="shared" ref="L14:L45" si="1">IFERROR($D2/SUM($D2:$F2),"")</f>
        <v>0.36776119402985075</v>
      </c>
      <c r="M14" s="1">
        <f t="shared" ref="M14:M45" si="2">IFERROR($F2/SUM($D2:$F2),"")</f>
        <v>0.2827860696517413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5040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5040</v>
      </c>
      <c r="H15" t="str">
        <f t="shared" ref="H15:H46" si="3">IF(B3="","",TEXT(B3,"dd/mm") &amp; "-" &amp; IF(UPPER(TRIM(C3))="CN",1,IF(UPPER(TRIM(C3))="CD",2,"")))</f>
        <v>01/06-2</v>
      </c>
      <c r="I15" s="1">
        <v>0.46588235294117653</v>
      </c>
      <c r="J15" s="1">
        <v>0.47936842105263172</v>
      </c>
      <c r="K15" s="1">
        <f t="shared" si="0"/>
        <v>0.35243781094527366</v>
      </c>
      <c r="L15" s="1">
        <f t="shared" si="1"/>
        <v>0.42308457711442787</v>
      </c>
      <c r="M15" s="1">
        <f t="shared" si="2"/>
        <v>0.2244776119402985</v>
      </c>
      <c r="O15">
        <v>14</v>
      </c>
      <c r="P15" t="s">
        <v>61</v>
      </c>
      <c r="Q15" t="s">
        <v>34</v>
      </c>
      <c r="R15">
        <v>1737</v>
      </c>
      <c r="S15">
        <v>1852</v>
      </c>
      <c r="T15">
        <v>1437</v>
      </c>
    </row>
    <row r="16" spans="1:20" x14ac:dyDescent="0.3">
      <c r="A16">
        <v>15</v>
      </c>
      <c r="B16" t="s">
        <v>62</v>
      </c>
      <c r="C16" t="s">
        <v>34</v>
      </c>
      <c r="D16">
        <v>2019</v>
      </c>
      <c r="E16">
        <v>1500</v>
      </c>
      <c r="F16">
        <v>1506</v>
      </c>
      <c r="H16" t="str">
        <f t="shared" si="3"/>
        <v>02/06-1</v>
      </c>
      <c r="I16" s="1">
        <v>0.46588235294117653</v>
      </c>
      <c r="J16" s="1">
        <v>0.47936842105263172</v>
      </c>
      <c r="K16" s="1">
        <f t="shared" si="0"/>
        <v>0.32411460405889375</v>
      </c>
      <c r="L16" s="1">
        <f t="shared" si="1"/>
        <v>0.39335455630720256</v>
      </c>
      <c r="M16" s="1">
        <f t="shared" si="2"/>
        <v>0.28253083963390369</v>
      </c>
      <c r="O16">
        <v>15</v>
      </c>
      <c r="P16" t="s">
        <v>61</v>
      </c>
      <c r="Q16" t="s">
        <v>37</v>
      </c>
      <c r="R16">
        <v>2344</v>
      </c>
      <c r="S16">
        <v>1522</v>
      </c>
      <c r="T16">
        <v>1160</v>
      </c>
    </row>
    <row r="17" spans="1:20" x14ac:dyDescent="0.3">
      <c r="A17">
        <v>16</v>
      </c>
      <c r="B17" t="s">
        <v>62</v>
      </c>
      <c r="C17" t="s">
        <v>37</v>
      </c>
      <c r="D17">
        <v>1591</v>
      </c>
      <c r="E17">
        <v>1634</v>
      </c>
      <c r="F17">
        <v>1802</v>
      </c>
      <c r="H17" t="str">
        <f t="shared" si="3"/>
        <v>02/06-2</v>
      </c>
      <c r="I17" s="1">
        <v>0.46588235294117653</v>
      </c>
      <c r="J17" s="1">
        <v>0.47936842105263172</v>
      </c>
      <c r="K17" s="1">
        <f t="shared" si="0"/>
        <v>0.36218905472636814</v>
      </c>
      <c r="L17" s="1">
        <f t="shared" si="1"/>
        <v>0.41154228855721392</v>
      </c>
      <c r="M17" s="1">
        <f t="shared" si="2"/>
        <v>0.22626865671641791</v>
      </c>
      <c r="O17">
        <v>16</v>
      </c>
      <c r="P17" t="s">
        <v>63</v>
      </c>
      <c r="Q17" t="s">
        <v>34</v>
      </c>
      <c r="R17">
        <v>1837</v>
      </c>
      <c r="S17">
        <v>1710</v>
      </c>
      <c r="T17">
        <v>1478</v>
      </c>
    </row>
    <row r="18" spans="1:20" x14ac:dyDescent="0.3">
      <c r="A18">
        <v>17</v>
      </c>
      <c r="B18" t="s">
        <v>64</v>
      </c>
      <c r="C18" t="s">
        <v>34</v>
      </c>
      <c r="D18">
        <v>1824</v>
      </c>
      <c r="E18">
        <v>1277</v>
      </c>
      <c r="F18">
        <v>1927</v>
      </c>
      <c r="H18" t="str">
        <f t="shared" si="3"/>
        <v>03/06-1</v>
      </c>
      <c r="I18" s="1">
        <v>0.46588235294117653</v>
      </c>
      <c r="J18" s="1">
        <v>0.47936842105263172</v>
      </c>
      <c r="K18" s="1">
        <f t="shared" si="0"/>
        <v>0.35144278606965174</v>
      </c>
      <c r="L18" s="1">
        <f t="shared" si="1"/>
        <v>0.3643781094527363</v>
      </c>
      <c r="M18" s="1">
        <f t="shared" si="2"/>
        <v>0.28417910447761197</v>
      </c>
      <c r="O18">
        <v>17</v>
      </c>
      <c r="P18" t="s">
        <v>63</v>
      </c>
      <c r="Q18" t="s">
        <v>37</v>
      </c>
      <c r="R18">
        <v>2504</v>
      </c>
      <c r="S18">
        <v>1316</v>
      </c>
      <c r="T18">
        <v>1206</v>
      </c>
    </row>
    <row r="19" spans="1:20" x14ac:dyDescent="0.3">
      <c r="A19">
        <v>18</v>
      </c>
      <c r="B19" t="s">
        <v>64</v>
      </c>
      <c r="C19" t="s">
        <v>37</v>
      </c>
      <c r="D19">
        <v>2032</v>
      </c>
      <c r="E19">
        <v>1683</v>
      </c>
      <c r="F19">
        <v>1311</v>
      </c>
      <c r="H19" t="str">
        <f t="shared" si="3"/>
        <v>03/06-2</v>
      </c>
      <c r="I19" s="1">
        <v>0.46588235294117653</v>
      </c>
      <c r="J19" s="1">
        <v>0.47936842105263172</v>
      </c>
      <c r="K19" s="1">
        <f t="shared" si="0"/>
        <v>0.36631495122436791</v>
      </c>
      <c r="L19" s="1">
        <f t="shared" si="1"/>
        <v>0.39697391996814652</v>
      </c>
      <c r="M19" s="1">
        <f t="shared" si="2"/>
        <v>0.23671112880748557</v>
      </c>
      <c r="O19">
        <v>18</v>
      </c>
      <c r="P19" t="s">
        <v>65</v>
      </c>
      <c r="Q19" t="s">
        <v>34</v>
      </c>
      <c r="R19">
        <v>1655</v>
      </c>
      <c r="S19">
        <v>1688</v>
      </c>
      <c r="T19">
        <v>1685</v>
      </c>
    </row>
    <row r="20" spans="1:20" x14ac:dyDescent="0.3">
      <c r="A20">
        <v>19</v>
      </c>
      <c r="B20" t="s">
        <v>66</v>
      </c>
      <c r="C20" t="s">
        <v>34</v>
      </c>
      <c r="D20">
        <v>1847</v>
      </c>
      <c r="E20">
        <v>1778</v>
      </c>
      <c r="F20">
        <v>1403</v>
      </c>
      <c r="H20" t="str">
        <f t="shared" si="3"/>
        <v>04/06-1</v>
      </c>
      <c r="I20" s="1">
        <v>0.46588235294117653</v>
      </c>
      <c r="J20" s="1">
        <v>0.47936842105263172</v>
      </c>
      <c r="K20" s="1">
        <f t="shared" si="0"/>
        <v>0.36124925402824748</v>
      </c>
      <c r="L20" s="1">
        <f t="shared" si="1"/>
        <v>0.35707181221404416</v>
      </c>
      <c r="M20" s="1">
        <f t="shared" si="2"/>
        <v>0.28167893375770836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5040</v>
      </c>
    </row>
    <row r="21" spans="1:20" x14ac:dyDescent="0.3">
      <c r="A21">
        <v>20</v>
      </c>
      <c r="B21" t="s">
        <v>66</v>
      </c>
      <c r="C21" t="s">
        <v>37</v>
      </c>
      <c r="D21">
        <v>1910</v>
      </c>
      <c r="E21">
        <v>1685</v>
      </c>
      <c r="F21">
        <v>1429</v>
      </c>
      <c r="H21" t="str">
        <f t="shared" si="3"/>
        <v>04/06-2</v>
      </c>
      <c r="I21" s="1">
        <v>0.46588235294117653</v>
      </c>
      <c r="J21" s="1">
        <v>0.47936842105263172</v>
      </c>
      <c r="K21" s="1">
        <f t="shared" si="0"/>
        <v>0.34660561417479596</v>
      </c>
      <c r="L21" s="1">
        <f t="shared" si="1"/>
        <v>0.41907226756918176</v>
      </c>
      <c r="M21" s="1">
        <f t="shared" si="2"/>
        <v>0.23432211825602231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5040</v>
      </c>
    </row>
    <row r="22" spans="1:20" x14ac:dyDescent="0.3">
      <c r="A22">
        <v>21</v>
      </c>
      <c r="B22" t="s">
        <v>68</v>
      </c>
      <c r="C22" t="s">
        <v>34</v>
      </c>
      <c r="D22">
        <v>2093</v>
      </c>
      <c r="E22">
        <v>1528</v>
      </c>
      <c r="F22">
        <v>1403</v>
      </c>
      <c r="H22" t="str">
        <f t="shared" si="3"/>
        <v>05/06-1</v>
      </c>
      <c r="I22" s="1">
        <v>0.46588235294117653</v>
      </c>
      <c r="J22" s="1">
        <v>0.47936842105263172</v>
      </c>
      <c r="K22" s="1">
        <f t="shared" si="0"/>
        <v>0.38882259347653142</v>
      </c>
      <c r="L22" s="1">
        <f t="shared" si="1"/>
        <v>0.3267700875099443</v>
      </c>
      <c r="M22" s="1">
        <f t="shared" si="2"/>
        <v>0.28440731901352428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5040</v>
      </c>
    </row>
    <row r="23" spans="1:20" x14ac:dyDescent="0.3">
      <c r="A23">
        <v>22</v>
      </c>
      <c r="B23" t="s">
        <v>68</v>
      </c>
      <c r="C23" t="s">
        <v>37</v>
      </c>
      <c r="D23">
        <v>1996</v>
      </c>
      <c r="E23">
        <v>1775</v>
      </c>
      <c r="F23">
        <v>1254</v>
      </c>
      <c r="H23" t="str">
        <f t="shared" si="3"/>
        <v>05/06-2</v>
      </c>
      <c r="I23" s="1">
        <v>0.46588235294117653</v>
      </c>
      <c r="J23" s="1">
        <v>0.47936842105263172</v>
      </c>
      <c r="K23" s="1">
        <f t="shared" si="0"/>
        <v>0.33817675159235666</v>
      </c>
      <c r="L23" s="1">
        <f t="shared" si="1"/>
        <v>0.43312101910828027</v>
      </c>
      <c r="M23" s="1">
        <f t="shared" si="2"/>
        <v>0.22870222929936307</v>
      </c>
      <c r="O23">
        <v>22</v>
      </c>
      <c r="P23" t="s">
        <v>69</v>
      </c>
      <c r="Q23" t="s">
        <v>34</v>
      </c>
      <c r="R23">
        <v>2200</v>
      </c>
      <c r="S23">
        <v>1367</v>
      </c>
      <c r="T23">
        <v>1456</v>
      </c>
    </row>
    <row r="24" spans="1:20" x14ac:dyDescent="0.3">
      <c r="A24">
        <v>23</v>
      </c>
      <c r="B24" t="s">
        <v>70</v>
      </c>
      <c r="C24" t="s">
        <v>34</v>
      </c>
      <c r="D24">
        <v>2201</v>
      </c>
      <c r="E24">
        <v>1420</v>
      </c>
      <c r="F24">
        <v>1403</v>
      </c>
      <c r="H24" t="str">
        <f t="shared" si="3"/>
        <v>06/06-1</v>
      </c>
      <c r="I24" s="1">
        <v>0.46588235294117653</v>
      </c>
      <c r="J24" s="1">
        <v>0.47936842105263172</v>
      </c>
      <c r="K24" s="1">
        <f t="shared" si="0"/>
        <v>0.26144962166467545</v>
      </c>
      <c r="L24" s="1">
        <f t="shared" si="1"/>
        <v>0.35603345280764637</v>
      </c>
      <c r="M24" s="1">
        <f t="shared" si="2"/>
        <v>0.38251692552767824</v>
      </c>
      <c r="O24">
        <v>23</v>
      </c>
      <c r="P24" t="s">
        <v>69</v>
      </c>
      <c r="Q24" t="s">
        <v>37</v>
      </c>
      <c r="R24">
        <v>1952</v>
      </c>
      <c r="S24">
        <v>1993</v>
      </c>
      <c r="T24">
        <v>1078</v>
      </c>
    </row>
    <row r="25" spans="1:20" x14ac:dyDescent="0.3">
      <c r="A25">
        <v>24</v>
      </c>
      <c r="B25" t="s">
        <v>70</v>
      </c>
      <c r="C25" t="s">
        <v>37</v>
      </c>
      <c r="D25">
        <v>1810</v>
      </c>
      <c r="E25">
        <v>1759</v>
      </c>
      <c r="F25">
        <v>1457</v>
      </c>
      <c r="H25" t="str">
        <f t="shared" si="3"/>
        <v>06/06-2</v>
      </c>
      <c r="I25" s="1">
        <v>0.46588235294117653</v>
      </c>
      <c r="J25" s="1">
        <v>0.47936842105263172</v>
      </c>
      <c r="K25" s="1">
        <f t="shared" si="0"/>
        <v>0.27551223393674157</v>
      </c>
      <c r="L25" s="1">
        <f t="shared" si="1"/>
        <v>0.32564153570718124</v>
      </c>
      <c r="M25" s="1">
        <f t="shared" si="2"/>
        <v>0.39884623035607719</v>
      </c>
      <c r="O25">
        <v>24</v>
      </c>
      <c r="P25" t="s">
        <v>71</v>
      </c>
      <c r="Q25" t="s">
        <v>34</v>
      </c>
      <c r="R25">
        <v>1843</v>
      </c>
      <c r="S25">
        <v>1707</v>
      </c>
      <c r="T25">
        <v>1477</v>
      </c>
    </row>
    <row r="26" spans="1:20" x14ac:dyDescent="0.3">
      <c r="A26">
        <v>25</v>
      </c>
      <c r="B26" t="s">
        <v>72</v>
      </c>
      <c r="C26" t="s">
        <v>34</v>
      </c>
      <c r="D26">
        <v>1868</v>
      </c>
      <c r="E26">
        <v>1547</v>
      </c>
      <c r="F26">
        <v>1613</v>
      </c>
      <c r="H26" t="str">
        <f t="shared" si="3"/>
        <v>07/06-1</v>
      </c>
      <c r="I26" s="1">
        <v>0.46588235294117653</v>
      </c>
      <c r="J26" s="1">
        <v>0.47936842105263172</v>
      </c>
      <c r="K26" s="1">
        <f t="shared" si="0"/>
        <v>0</v>
      </c>
      <c r="L26" s="1">
        <f t="shared" si="1"/>
        <v>0</v>
      </c>
      <c r="M26" s="1">
        <f t="shared" si="2"/>
        <v>1</v>
      </c>
      <c r="O26">
        <v>25</v>
      </c>
      <c r="P26" t="s">
        <v>71</v>
      </c>
      <c r="Q26" t="s">
        <v>37</v>
      </c>
      <c r="R26">
        <v>1896</v>
      </c>
      <c r="S26">
        <v>2060</v>
      </c>
      <c r="T26">
        <v>1068</v>
      </c>
    </row>
    <row r="27" spans="1:20" x14ac:dyDescent="0.3">
      <c r="H27" t="str">
        <f t="shared" si="3"/>
        <v>07/06-2</v>
      </c>
      <c r="I27" s="1">
        <v>0.46588235294117653</v>
      </c>
      <c r="J27" s="1">
        <v>0.47936842105263172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2066</v>
      </c>
      <c r="S27">
        <v>1512</v>
      </c>
      <c r="T27">
        <v>1451</v>
      </c>
    </row>
    <row r="28" spans="1:20" x14ac:dyDescent="0.3">
      <c r="H28" t="str">
        <f t="shared" si="3"/>
        <v>08/06-1</v>
      </c>
      <c r="I28" s="1">
        <v>0.46588235294117653</v>
      </c>
      <c r="J28" s="1">
        <v>0.47936842105263172</v>
      </c>
      <c r="K28" s="1">
        <f t="shared" si="0"/>
        <v>0.29850746268656714</v>
      </c>
      <c r="L28" s="1">
        <f t="shared" si="1"/>
        <v>0.40179104477611938</v>
      </c>
      <c r="M28" s="1">
        <f t="shared" si="2"/>
        <v>0.29970149253731343</v>
      </c>
      <c r="O28">
        <v>27</v>
      </c>
      <c r="P28" t="s">
        <v>73</v>
      </c>
      <c r="Q28" t="s">
        <v>37</v>
      </c>
      <c r="R28">
        <v>2089</v>
      </c>
      <c r="S28">
        <v>1865</v>
      </c>
      <c r="T28">
        <v>1067</v>
      </c>
    </row>
    <row r="29" spans="1:20" x14ac:dyDescent="0.3">
      <c r="H29" t="str">
        <f t="shared" si="3"/>
        <v>08/06-2</v>
      </c>
      <c r="I29" s="1">
        <v>0.46588235294117653</v>
      </c>
      <c r="J29" s="1">
        <v>0.47936842105263172</v>
      </c>
      <c r="K29" s="1">
        <f t="shared" si="0"/>
        <v>0.32504475830515217</v>
      </c>
      <c r="L29" s="1">
        <f t="shared" si="1"/>
        <v>0.31649094887606921</v>
      </c>
      <c r="M29" s="1">
        <f t="shared" si="2"/>
        <v>0.35846429281877862</v>
      </c>
      <c r="O29">
        <v>28</v>
      </c>
      <c r="P29" t="s">
        <v>74</v>
      </c>
      <c r="Q29" t="s">
        <v>34</v>
      </c>
      <c r="R29">
        <v>2239</v>
      </c>
      <c r="S29">
        <v>1336</v>
      </c>
      <c r="T29">
        <v>1451</v>
      </c>
    </row>
    <row r="30" spans="1:20" x14ac:dyDescent="0.3">
      <c r="H30" t="str">
        <f t="shared" si="3"/>
        <v>09/06-1</v>
      </c>
      <c r="I30" s="1">
        <v>0.46588235294117653</v>
      </c>
      <c r="J30" s="1">
        <v>0.47936842105263172</v>
      </c>
      <c r="K30" s="1">
        <f t="shared" si="0"/>
        <v>0.25397772474144792</v>
      </c>
      <c r="L30" s="1">
        <f t="shared" si="1"/>
        <v>0.36276849642004771</v>
      </c>
      <c r="M30" s="1">
        <f t="shared" si="2"/>
        <v>0.38325377883850437</v>
      </c>
      <c r="O30">
        <v>29</v>
      </c>
      <c r="P30" t="s">
        <v>74</v>
      </c>
      <c r="Q30" t="s">
        <v>37</v>
      </c>
      <c r="R30">
        <v>1973</v>
      </c>
      <c r="S30">
        <v>2009</v>
      </c>
      <c r="T30">
        <v>1039</v>
      </c>
    </row>
    <row r="31" spans="1:20" x14ac:dyDescent="0.3">
      <c r="H31" t="str">
        <f t="shared" si="3"/>
        <v>09/06-2</v>
      </c>
      <c r="I31" s="1">
        <v>0.46588235294117653</v>
      </c>
      <c r="J31" s="1">
        <v>0.47936842105263172</v>
      </c>
      <c r="K31" s="1">
        <f t="shared" si="0"/>
        <v>0.33485873458018306</v>
      </c>
      <c r="L31" s="1">
        <f t="shared" si="1"/>
        <v>0.40429765220851571</v>
      </c>
      <c r="M31" s="1">
        <f t="shared" si="2"/>
        <v>0.26084361321130123</v>
      </c>
      <c r="O31">
        <v>30</v>
      </c>
      <c r="P31" t="s">
        <v>75</v>
      </c>
      <c r="Q31" t="s">
        <v>34</v>
      </c>
      <c r="R31">
        <v>1947</v>
      </c>
      <c r="S31">
        <v>1538</v>
      </c>
      <c r="T31">
        <v>1541</v>
      </c>
    </row>
    <row r="32" spans="1:20" x14ac:dyDescent="0.3">
      <c r="H32" t="str">
        <f t="shared" si="3"/>
        <v>10/06-1</v>
      </c>
      <c r="I32" s="1">
        <v>0.46588235294117653</v>
      </c>
      <c r="J32" s="1">
        <v>0.47936842105263172</v>
      </c>
      <c r="K32" s="1">
        <f t="shared" si="0"/>
        <v>0.3536197295147176</v>
      </c>
      <c r="L32" s="1">
        <f t="shared" si="1"/>
        <v>0.3673428798727128</v>
      </c>
      <c r="M32" s="1">
        <f t="shared" si="2"/>
        <v>0.2790373906125696</v>
      </c>
      <c r="O32">
        <v>31</v>
      </c>
      <c r="P32" t="s">
        <v>75</v>
      </c>
      <c r="Q32" t="s">
        <v>37</v>
      </c>
      <c r="R32">
        <v>1847</v>
      </c>
      <c r="S32">
        <v>1745</v>
      </c>
      <c r="T32">
        <v>1435</v>
      </c>
    </row>
    <row r="33" spans="8:20" x14ac:dyDescent="0.3">
      <c r="H33" t="str">
        <f t="shared" si="3"/>
        <v>10/06-2</v>
      </c>
      <c r="I33" s="1">
        <v>0.46588235294117653</v>
      </c>
      <c r="J33" s="1">
        <v>0.47936842105263172</v>
      </c>
      <c r="K33" s="1">
        <f t="shared" si="0"/>
        <v>0.33539012738853502</v>
      </c>
      <c r="L33" s="1">
        <f t="shared" si="1"/>
        <v>0.3801751592356688</v>
      </c>
      <c r="M33" s="1">
        <f t="shared" si="2"/>
        <v>0.28443471337579618</v>
      </c>
      <c r="O33">
        <v>32</v>
      </c>
      <c r="P33" t="s">
        <v>76</v>
      </c>
      <c r="Q33" t="s">
        <v>34</v>
      </c>
      <c r="R33">
        <v>1881</v>
      </c>
      <c r="S33">
        <v>1689</v>
      </c>
      <c r="T33">
        <v>1456</v>
      </c>
    </row>
    <row r="34" spans="8:20" x14ac:dyDescent="0.3">
      <c r="H34" t="str">
        <f t="shared" si="3"/>
        <v>11/06-1</v>
      </c>
      <c r="I34" s="1">
        <v>0.46588235294117653</v>
      </c>
      <c r="J34" s="1">
        <v>0.47936842105263172</v>
      </c>
      <c r="K34" s="1">
        <f t="shared" si="0"/>
        <v>0.30414012738853502</v>
      </c>
      <c r="L34" s="1">
        <f t="shared" si="1"/>
        <v>0.41660031847133761</v>
      </c>
      <c r="M34" s="1">
        <f t="shared" si="2"/>
        <v>0.27925955414012738</v>
      </c>
      <c r="O34">
        <v>33</v>
      </c>
      <c r="P34" t="s">
        <v>76</v>
      </c>
      <c r="Q34" t="s">
        <v>37</v>
      </c>
      <c r="R34">
        <v>1581</v>
      </c>
      <c r="S34">
        <v>1746</v>
      </c>
      <c r="T34">
        <v>1700</v>
      </c>
    </row>
    <row r="35" spans="8:20" x14ac:dyDescent="0.3">
      <c r="H35" t="str">
        <f t="shared" si="3"/>
        <v>11/06-2</v>
      </c>
      <c r="I35" s="1">
        <v>0.46588235294117653</v>
      </c>
      <c r="J35" s="1">
        <v>0.47936842105263172</v>
      </c>
      <c r="K35" s="1">
        <f t="shared" si="0"/>
        <v>0.35323383084577115</v>
      </c>
      <c r="L35" s="1">
        <f t="shared" si="1"/>
        <v>0.39721393034825869</v>
      </c>
      <c r="M35" s="1">
        <f t="shared" si="2"/>
        <v>0.24955223880597016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5040</v>
      </c>
    </row>
    <row r="36" spans="8:20" x14ac:dyDescent="0.3">
      <c r="H36" t="str">
        <f t="shared" si="3"/>
        <v>12/06-1</v>
      </c>
      <c r="I36" s="1">
        <v>0.46588235294117653</v>
      </c>
      <c r="J36" s="1">
        <v>0.47936842105263172</v>
      </c>
      <c r="K36" s="1">
        <f t="shared" si="0"/>
        <v>0.28264331210191085</v>
      </c>
      <c r="L36" s="1">
        <f t="shared" si="1"/>
        <v>0.43809713375796178</v>
      </c>
      <c r="M36" s="1">
        <f t="shared" si="2"/>
        <v>0.27925955414012738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5040</v>
      </c>
    </row>
    <row r="37" spans="8:20" x14ac:dyDescent="0.3">
      <c r="H37" t="str">
        <f t="shared" si="3"/>
        <v>12/06-2</v>
      </c>
      <c r="I37" s="1">
        <v>0.46588235294117653</v>
      </c>
      <c r="J37" s="1">
        <v>0.47936842105263172</v>
      </c>
      <c r="K37" s="1">
        <f t="shared" si="0"/>
        <v>0.34998010346199759</v>
      </c>
      <c r="L37" s="1">
        <f t="shared" si="1"/>
        <v>0.36012733784321527</v>
      </c>
      <c r="M37" s="1">
        <f t="shared" si="2"/>
        <v>0.28989255869478708</v>
      </c>
      <c r="O37">
        <v>36</v>
      </c>
      <c r="P37" t="s">
        <v>78</v>
      </c>
      <c r="Q37" t="s">
        <v>34</v>
      </c>
      <c r="R37">
        <v>1557</v>
      </c>
      <c r="S37">
        <v>1894</v>
      </c>
      <c r="T37">
        <v>1575</v>
      </c>
    </row>
    <row r="38" spans="8:20" x14ac:dyDescent="0.3">
      <c r="H38" t="str">
        <f t="shared" si="3"/>
        <v>13/06-1</v>
      </c>
      <c r="I38" s="1">
        <v>0.46588235294117653</v>
      </c>
      <c r="J38" s="1">
        <v>0.47936842105263172</v>
      </c>
      <c r="K38" s="1">
        <f t="shared" si="0"/>
        <v>0.30767700875099441</v>
      </c>
      <c r="L38" s="1">
        <f t="shared" si="1"/>
        <v>0.37151949085123309</v>
      </c>
      <c r="M38" s="1">
        <f t="shared" si="2"/>
        <v>0.3208035003977725</v>
      </c>
      <c r="O38">
        <v>37</v>
      </c>
      <c r="P38" t="s">
        <v>78</v>
      </c>
      <c r="Q38" t="s">
        <v>37</v>
      </c>
      <c r="R38">
        <v>2191</v>
      </c>
      <c r="S38">
        <v>1651</v>
      </c>
      <c r="T38">
        <v>1184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1671</v>
      </c>
      <c r="S39">
        <v>1380</v>
      </c>
      <c r="T39">
        <v>1976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2039</v>
      </c>
      <c r="S40">
        <v>1459</v>
      </c>
      <c r="T40">
        <v>1529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1447</v>
      </c>
      <c r="S41">
        <v>1595</v>
      </c>
      <c r="T41">
        <v>1984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2264</v>
      </c>
      <c r="S42">
        <v>1611</v>
      </c>
      <c r="T42">
        <v>1150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1643</v>
      </c>
      <c r="S43">
        <v>1933</v>
      </c>
      <c r="T43">
        <v>1449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2096</v>
      </c>
      <c r="S44">
        <v>1765</v>
      </c>
      <c r="T44">
        <v>1161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1890</v>
      </c>
      <c r="S45">
        <v>1684</v>
      </c>
      <c r="T45">
        <v>1452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2141</v>
      </c>
      <c r="S46">
        <v>1764</v>
      </c>
      <c r="T46">
        <v>1120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1524</v>
      </c>
      <c r="S47">
        <v>1851</v>
      </c>
      <c r="T47">
        <v>1650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1589</v>
      </c>
      <c r="S48">
        <v>1725</v>
      </c>
      <c r="T48">
        <v>1712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3</v>
      </c>
      <c r="S49">
        <v>2</v>
      </c>
      <c r="T49">
        <v>5034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5040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2232</v>
      </c>
      <c r="S51">
        <v>1345</v>
      </c>
      <c r="T51">
        <v>1446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1927</v>
      </c>
      <c r="S52">
        <v>2028</v>
      </c>
      <c r="T52">
        <v>1067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2023</v>
      </c>
      <c r="S53">
        <v>1555</v>
      </c>
      <c r="T53">
        <v>1447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1770</v>
      </c>
      <c r="S54">
        <v>2168</v>
      </c>
      <c r="T54">
        <v>1084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1808</v>
      </c>
      <c r="S55">
        <v>1766</v>
      </c>
      <c r="T55">
        <v>1452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1603</v>
      </c>
      <c r="S56">
        <v>2336</v>
      </c>
      <c r="T56">
        <v>1086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1840</v>
      </c>
      <c r="S57">
        <v>1724</v>
      </c>
      <c r="T57">
        <v>1460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1792</v>
      </c>
      <c r="S58">
        <v>2097</v>
      </c>
      <c r="T58">
        <v>1136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1886</v>
      </c>
      <c r="S59">
        <v>1686</v>
      </c>
      <c r="T59">
        <v>1454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1790</v>
      </c>
      <c r="S60">
        <v>2153</v>
      </c>
      <c r="T60">
        <v>1077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1862</v>
      </c>
      <c r="S61">
        <v>1496</v>
      </c>
      <c r="T61">
        <v>1668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1086</v>
      </c>
      <c r="S62">
        <v>1750</v>
      </c>
      <c r="T62">
        <v>2192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5040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5040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1735</v>
      </c>
      <c r="S65">
        <v>1849</v>
      </c>
      <c r="T65">
        <v>1438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2129</v>
      </c>
      <c r="S66">
        <v>1752</v>
      </c>
      <c r="T66">
        <v>1145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1874</v>
      </c>
      <c r="S67">
        <v>1716</v>
      </c>
      <c r="T67">
        <v>1436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2042</v>
      </c>
      <c r="S68">
        <v>1774</v>
      </c>
      <c r="T68">
        <v>1208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1480</v>
      </c>
      <c r="S69">
        <v>2097</v>
      </c>
      <c r="T69">
        <v>1443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2086</v>
      </c>
      <c r="S70">
        <v>1789</v>
      </c>
      <c r="T70">
        <v>1151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1709</v>
      </c>
      <c r="S71">
        <v>1866</v>
      </c>
      <c r="T71">
        <v>1450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1942</v>
      </c>
      <c r="S72">
        <v>1928</v>
      </c>
      <c r="T72">
        <v>1153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1651</v>
      </c>
      <c r="S73">
        <v>1929</v>
      </c>
      <c r="T73">
        <v>1445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1883</v>
      </c>
      <c r="S74">
        <v>1903</v>
      </c>
      <c r="T74">
        <v>1242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1425</v>
      </c>
      <c r="S75">
        <v>1473</v>
      </c>
      <c r="T75">
        <v>2128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1910</v>
      </c>
      <c r="S76">
        <v>1284</v>
      </c>
      <c r="T76">
        <v>1835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5040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5040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1993</v>
      </c>
      <c r="S79">
        <v>1590</v>
      </c>
      <c r="T79">
        <v>1441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1852</v>
      </c>
      <c r="S80">
        <v>2104</v>
      </c>
      <c r="T80">
        <v>1067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1967</v>
      </c>
      <c r="S81">
        <v>1621</v>
      </c>
      <c r="T81">
        <v>1437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1863</v>
      </c>
      <c r="S82">
        <v>2086</v>
      </c>
      <c r="T82">
        <v>1076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1895</v>
      </c>
      <c r="S83">
        <v>1689</v>
      </c>
      <c r="T83">
        <v>1441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1536</v>
      </c>
      <c r="S84">
        <v>1835</v>
      </c>
      <c r="T84">
        <v>1653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1746</v>
      </c>
      <c r="S85">
        <v>1835</v>
      </c>
      <c r="T85">
        <v>1446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1555</v>
      </c>
      <c r="S86">
        <v>1818</v>
      </c>
      <c r="T86">
        <v>1655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2136</v>
      </c>
      <c r="S87">
        <v>1196</v>
      </c>
      <c r="T87">
        <v>1695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965</v>
      </c>
      <c r="S88">
        <v>815</v>
      </c>
      <c r="T88">
        <v>3248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5040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5041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5041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5040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5040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5040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5040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5040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5040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5040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5040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5040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5040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5041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5040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5040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5041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5040</v>
      </c>
    </row>
    <row r="107" spans="9:20" x14ac:dyDescent="0.3">
      <c r="O107">
        <v>106</v>
      </c>
      <c r="P107" t="s">
        <v>113</v>
      </c>
      <c r="Q107" t="s">
        <v>34</v>
      </c>
      <c r="R107">
        <v>1807</v>
      </c>
      <c r="S107">
        <v>1772</v>
      </c>
      <c r="T107">
        <v>1449</v>
      </c>
    </row>
    <row r="108" spans="9:20" x14ac:dyDescent="0.3">
      <c r="O108">
        <v>107</v>
      </c>
      <c r="P108" t="s">
        <v>113</v>
      </c>
      <c r="Q108" t="s">
        <v>37</v>
      </c>
      <c r="R108">
        <v>1584</v>
      </c>
      <c r="S108">
        <v>1888</v>
      </c>
      <c r="T108">
        <v>1551</v>
      </c>
    </row>
    <row r="109" spans="9:20" x14ac:dyDescent="0.3">
      <c r="O109">
        <v>108</v>
      </c>
      <c r="P109" t="s">
        <v>114</v>
      </c>
      <c r="Q109" t="s">
        <v>34</v>
      </c>
      <c r="R109">
        <v>1856</v>
      </c>
      <c r="S109">
        <v>1674</v>
      </c>
      <c r="T109">
        <v>1498</v>
      </c>
    </row>
    <row r="110" spans="9:20" x14ac:dyDescent="0.3">
      <c r="O110">
        <v>109</v>
      </c>
      <c r="P110" t="s">
        <v>114</v>
      </c>
      <c r="Q110" t="s">
        <v>37</v>
      </c>
      <c r="R110">
        <v>1553</v>
      </c>
      <c r="S110">
        <v>1837</v>
      </c>
      <c r="T110">
        <v>1636</v>
      </c>
    </row>
    <row r="111" spans="9:20" x14ac:dyDescent="0.3">
      <c r="O111">
        <v>110</v>
      </c>
      <c r="P111" t="s">
        <v>115</v>
      </c>
      <c r="Q111" t="s">
        <v>34</v>
      </c>
      <c r="R111">
        <v>1805</v>
      </c>
      <c r="S111">
        <v>1787</v>
      </c>
      <c r="T111">
        <v>1433</v>
      </c>
    </row>
    <row r="112" spans="9:20" x14ac:dyDescent="0.3">
      <c r="O112">
        <v>111</v>
      </c>
      <c r="P112" t="s">
        <v>115</v>
      </c>
      <c r="Q112" t="s">
        <v>37</v>
      </c>
      <c r="R112">
        <v>1884</v>
      </c>
      <c r="S112">
        <v>2039</v>
      </c>
      <c r="T112">
        <v>1100</v>
      </c>
    </row>
    <row r="113" spans="15:20" x14ac:dyDescent="0.3">
      <c r="O113">
        <v>112</v>
      </c>
      <c r="P113" t="s">
        <v>116</v>
      </c>
      <c r="Q113" t="s">
        <v>34</v>
      </c>
      <c r="R113">
        <v>1639</v>
      </c>
      <c r="S113">
        <v>1944</v>
      </c>
      <c r="T113">
        <v>1436</v>
      </c>
    </row>
    <row r="114" spans="15:20" x14ac:dyDescent="0.3">
      <c r="O114">
        <v>113</v>
      </c>
      <c r="P114" t="s">
        <v>116</v>
      </c>
      <c r="Q114" t="s">
        <v>37</v>
      </c>
      <c r="R114">
        <v>1674</v>
      </c>
      <c r="S114">
        <v>2258</v>
      </c>
      <c r="T114">
        <v>1095</v>
      </c>
    </row>
    <row r="115" spans="15:20" x14ac:dyDescent="0.3">
      <c r="O115">
        <v>114</v>
      </c>
      <c r="P115" t="s">
        <v>117</v>
      </c>
      <c r="Q115" t="s">
        <v>34</v>
      </c>
      <c r="R115">
        <v>1716</v>
      </c>
      <c r="S115">
        <v>1869</v>
      </c>
      <c r="T115">
        <v>1440</v>
      </c>
    </row>
    <row r="116" spans="15:20" x14ac:dyDescent="0.3">
      <c r="O116">
        <v>115</v>
      </c>
      <c r="P116" t="s">
        <v>117</v>
      </c>
      <c r="Q116" t="s">
        <v>37</v>
      </c>
      <c r="R116">
        <v>1753</v>
      </c>
      <c r="S116">
        <v>1967</v>
      </c>
      <c r="T116">
        <v>1304</v>
      </c>
    </row>
    <row r="117" spans="15:20" x14ac:dyDescent="0.3">
      <c r="O117">
        <v>116</v>
      </c>
      <c r="P117" t="s">
        <v>118</v>
      </c>
      <c r="Q117" t="s">
        <v>34</v>
      </c>
      <c r="R117">
        <v>1749</v>
      </c>
      <c r="S117">
        <v>1625</v>
      </c>
      <c r="T117">
        <v>1655</v>
      </c>
    </row>
    <row r="118" spans="15:20" x14ac:dyDescent="0.3">
      <c r="O118">
        <v>117</v>
      </c>
      <c r="P118" t="s">
        <v>118</v>
      </c>
      <c r="Q118" t="s">
        <v>37</v>
      </c>
      <c r="R118">
        <v>1541</v>
      </c>
      <c r="S118">
        <v>1771</v>
      </c>
      <c r="T118">
        <v>1712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4037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5040</v>
      </c>
    </row>
    <row r="121" spans="15:20" x14ac:dyDescent="0.3">
      <c r="O121">
        <v>120</v>
      </c>
      <c r="P121" t="s">
        <v>120</v>
      </c>
      <c r="Q121" t="s">
        <v>34</v>
      </c>
      <c r="R121">
        <v>1563</v>
      </c>
      <c r="S121">
        <v>2021</v>
      </c>
      <c r="T121">
        <v>1441</v>
      </c>
    </row>
    <row r="122" spans="15:20" x14ac:dyDescent="0.3">
      <c r="O122">
        <v>121</v>
      </c>
      <c r="P122" t="s">
        <v>120</v>
      </c>
      <c r="Q122" t="s">
        <v>37</v>
      </c>
      <c r="R122">
        <v>1989</v>
      </c>
      <c r="S122">
        <v>1824</v>
      </c>
      <c r="T122">
        <v>1209</v>
      </c>
    </row>
    <row r="123" spans="15:20" x14ac:dyDescent="0.3">
      <c r="O123">
        <v>122</v>
      </c>
      <c r="P123" t="s">
        <v>121</v>
      </c>
      <c r="Q123" t="s">
        <v>34</v>
      </c>
      <c r="R123">
        <v>1574</v>
      </c>
      <c r="S123">
        <v>2010</v>
      </c>
      <c r="T123">
        <v>1444</v>
      </c>
    </row>
    <row r="124" spans="15:20" x14ac:dyDescent="0.3">
      <c r="O124">
        <v>123</v>
      </c>
      <c r="P124" t="s">
        <v>121</v>
      </c>
      <c r="Q124" t="s">
        <v>37</v>
      </c>
      <c r="R124">
        <v>1946</v>
      </c>
      <c r="S124">
        <v>1902</v>
      </c>
      <c r="T124">
        <v>1178</v>
      </c>
    </row>
    <row r="125" spans="15:20" x14ac:dyDescent="0.3">
      <c r="O125">
        <v>124</v>
      </c>
      <c r="P125" t="s">
        <v>122</v>
      </c>
      <c r="Q125" t="s">
        <v>34</v>
      </c>
      <c r="R125">
        <v>1459</v>
      </c>
      <c r="S125">
        <v>2100</v>
      </c>
      <c r="T125">
        <v>1467</v>
      </c>
    </row>
    <row r="126" spans="15:20" x14ac:dyDescent="0.3">
      <c r="O126">
        <v>125</v>
      </c>
      <c r="P126" t="s">
        <v>122</v>
      </c>
      <c r="Q126" t="s">
        <v>37</v>
      </c>
      <c r="R126">
        <v>1726</v>
      </c>
      <c r="S126">
        <v>2115</v>
      </c>
      <c r="T126">
        <v>1185</v>
      </c>
    </row>
    <row r="127" spans="15:20" x14ac:dyDescent="0.3">
      <c r="O127">
        <v>126</v>
      </c>
      <c r="P127" t="s">
        <v>123</v>
      </c>
      <c r="Q127" t="s">
        <v>34</v>
      </c>
      <c r="R127">
        <v>1616</v>
      </c>
      <c r="S127">
        <v>1904</v>
      </c>
      <c r="T127">
        <v>1508</v>
      </c>
    </row>
    <row r="128" spans="15:20" x14ac:dyDescent="0.3">
      <c r="O128">
        <v>127</v>
      </c>
      <c r="P128" t="s">
        <v>123</v>
      </c>
      <c r="Q128" t="s">
        <v>37</v>
      </c>
      <c r="R128">
        <v>2059</v>
      </c>
      <c r="S128">
        <v>1816</v>
      </c>
      <c r="T128">
        <v>1149</v>
      </c>
    </row>
    <row r="129" spans="15:20" x14ac:dyDescent="0.3">
      <c r="O129">
        <v>128</v>
      </c>
      <c r="P129" t="s">
        <v>124</v>
      </c>
      <c r="Q129" t="s">
        <v>34</v>
      </c>
      <c r="R129">
        <v>1883</v>
      </c>
      <c r="S129">
        <v>1705</v>
      </c>
      <c r="T129">
        <v>1437</v>
      </c>
    </row>
    <row r="130" spans="15:20" x14ac:dyDescent="0.3">
      <c r="O130">
        <v>129</v>
      </c>
      <c r="P130" t="s">
        <v>124</v>
      </c>
      <c r="Q130" t="s">
        <v>37</v>
      </c>
      <c r="R130">
        <v>1979</v>
      </c>
      <c r="S130">
        <v>1871</v>
      </c>
      <c r="T130">
        <v>1174</v>
      </c>
    </row>
    <row r="131" spans="15:20" x14ac:dyDescent="0.3">
      <c r="O131">
        <v>130</v>
      </c>
      <c r="P131" t="s">
        <v>125</v>
      </c>
      <c r="Q131" t="s">
        <v>34</v>
      </c>
      <c r="R131">
        <v>1466</v>
      </c>
      <c r="S131">
        <v>1905</v>
      </c>
      <c r="T131">
        <v>1656</v>
      </c>
    </row>
    <row r="132" spans="15:20" x14ac:dyDescent="0.3">
      <c r="O132">
        <v>131</v>
      </c>
      <c r="P132" t="s">
        <v>125</v>
      </c>
      <c r="Q132" t="s">
        <v>37</v>
      </c>
      <c r="R132">
        <v>1708</v>
      </c>
      <c r="S132">
        <v>1546</v>
      </c>
      <c r="T132">
        <v>1770</v>
      </c>
    </row>
    <row r="133" spans="15:20" x14ac:dyDescent="0.3">
      <c r="O133">
        <v>132</v>
      </c>
      <c r="P133" t="s">
        <v>126</v>
      </c>
      <c r="Q133" t="s">
        <v>34</v>
      </c>
      <c r="R133">
        <v>329</v>
      </c>
      <c r="S133">
        <v>17</v>
      </c>
      <c r="T133">
        <v>4692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5041</v>
      </c>
    </row>
    <row r="135" spans="15:20" x14ac:dyDescent="0.3">
      <c r="O135">
        <v>134</v>
      </c>
      <c r="P135" t="s">
        <v>127</v>
      </c>
      <c r="Q135" t="s">
        <v>34</v>
      </c>
      <c r="R135">
        <v>1978</v>
      </c>
      <c r="S135">
        <v>1572</v>
      </c>
      <c r="T135">
        <v>1478</v>
      </c>
    </row>
    <row r="136" spans="15:20" x14ac:dyDescent="0.3">
      <c r="O136">
        <v>135</v>
      </c>
      <c r="P136" t="s">
        <v>127</v>
      </c>
      <c r="Q136" t="s">
        <v>37</v>
      </c>
      <c r="R136">
        <v>1796</v>
      </c>
      <c r="S136">
        <v>2136</v>
      </c>
      <c r="T136">
        <v>1094</v>
      </c>
    </row>
    <row r="137" spans="15:20" x14ac:dyDescent="0.3">
      <c r="O137">
        <v>136</v>
      </c>
      <c r="P137" t="s">
        <v>128</v>
      </c>
      <c r="Q137" t="s">
        <v>34</v>
      </c>
      <c r="R137">
        <v>1990</v>
      </c>
      <c r="S137">
        <v>1583</v>
      </c>
      <c r="T137">
        <v>1453</v>
      </c>
    </row>
    <row r="138" spans="15:20" x14ac:dyDescent="0.3">
      <c r="O138">
        <v>137</v>
      </c>
      <c r="P138" t="s">
        <v>128</v>
      </c>
      <c r="Q138" t="s">
        <v>37</v>
      </c>
      <c r="R138">
        <v>1820</v>
      </c>
      <c r="S138">
        <v>2121</v>
      </c>
      <c r="T138">
        <v>1083</v>
      </c>
    </row>
    <row r="139" spans="15:20" x14ac:dyDescent="0.3">
      <c r="O139">
        <v>138</v>
      </c>
      <c r="P139" t="s">
        <v>129</v>
      </c>
      <c r="Q139" t="s">
        <v>34</v>
      </c>
      <c r="R139">
        <v>1880</v>
      </c>
      <c r="S139">
        <v>1704</v>
      </c>
      <c r="T139">
        <v>1442</v>
      </c>
    </row>
    <row r="140" spans="15:20" x14ac:dyDescent="0.3">
      <c r="O140">
        <v>139</v>
      </c>
      <c r="P140" t="s">
        <v>129</v>
      </c>
      <c r="Q140" t="s">
        <v>37</v>
      </c>
      <c r="R140">
        <v>1777</v>
      </c>
      <c r="S140">
        <v>2162</v>
      </c>
      <c r="T140">
        <v>1084</v>
      </c>
    </row>
    <row r="141" spans="15:20" x14ac:dyDescent="0.3">
      <c r="O141">
        <v>140</v>
      </c>
      <c r="P141" t="s">
        <v>130</v>
      </c>
      <c r="Q141" t="s">
        <v>34</v>
      </c>
      <c r="R141">
        <v>1904</v>
      </c>
      <c r="S141">
        <v>1684</v>
      </c>
      <c r="T141">
        <v>1440</v>
      </c>
    </row>
    <row r="142" spans="15:20" x14ac:dyDescent="0.3">
      <c r="O142">
        <v>141</v>
      </c>
      <c r="P142" t="s">
        <v>130</v>
      </c>
      <c r="Q142" t="s">
        <v>37</v>
      </c>
      <c r="R142">
        <v>1780</v>
      </c>
      <c r="S142">
        <v>2046</v>
      </c>
      <c r="T142">
        <v>1199</v>
      </c>
    </row>
    <row r="143" spans="15:20" x14ac:dyDescent="0.3">
      <c r="O143">
        <v>142</v>
      </c>
      <c r="P143" t="s">
        <v>131</v>
      </c>
      <c r="Q143" t="s">
        <v>34</v>
      </c>
      <c r="R143">
        <v>1851</v>
      </c>
      <c r="S143">
        <v>1739</v>
      </c>
      <c r="T143">
        <v>1437</v>
      </c>
    </row>
    <row r="144" spans="15:20" x14ac:dyDescent="0.3">
      <c r="O144">
        <v>143</v>
      </c>
      <c r="P144" t="s">
        <v>131</v>
      </c>
      <c r="Q144" t="s">
        <v>37</v>
      </c>
      <c r="R144">
        <v>1709</v>
      </c>
      <c r="S144">
        <v>2116</v>
      </c>
      <c r="T144">
        <v>1198</v>
      </c>
    </row>
    <row r="145" spans="15:20" x14ac:dyDescent="0.3">
      <c r="O145">
        <v>144</v>
      </c>
      <c r="P145" t="s">
        <v>132</v>
      </c>
      <c r="Q145" t="s">
        <v>34</v>
      </c>
      <c r="R145">
        <v>1712</v>
      </c>
      <c r="S145">
        <v>1667</v>
      </c>
      <c r="T145">
        <v>1645</v>
      </c>
    </row>
    <row r="146" spans="15:20" x14ac:dyDescent="0.3">
      <c r="O146">
        <v>145</v>
      </c>
      <c r="P146" t="s">
        <v>132</v>
      </c>
      <c r="Q146" t="s">
        <v>37</v>
      </c>
      <c r="R146">
        <v>1262</v>
      </c>
      <c r="S146">
        <v>1480</v>
      </c>
      <c r="T146">
        <v>2283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5040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5040</v>
      </c>
    </row>
    <row r="149" spans="15:20" x14ac:dyDescent="0.3">
      <c r="O149">
        <v>148</v>
      </c>
      <c r="P149" t="s">
        <v>134</v>
      </c>
      <c r="Q149" t="s">
        <v>34</v>
      </c>
      <c r="R149">
        <v>1787</v>
      </c>
      <c r="S149">
        <v>1799</v>
      </c>
      <c r="T149">
        <v>1438</v>
      </c>
    </row>
    <row r="150" spans="15:20" x14ac:dyDescent="0.3">
      <c r="O150">
        <v>149</v>
      </c>
      <c r="P150" t="s">
        <v>134</v>
      </c>
      <c r="Q150" t="s">
        <v>37</v>
      </c>
      <c r="R150">
        <v>2511</v>
      </c>
      <c r="S150">
        <v>1556</v>
      </c>
      <c r="T150">
        <v>958</v>
      </c>
    </row>
    <row r="151" spans="15:20" x14ac:dyDescent="0.3">
      <c r="O151">
        <v>150</v>
      </c>
      <c r="P151" t="s">
        <v>135</v>
      </c>
      <c r="Q151" t="s">
        <v>34</v>
      </c>
      <c r="R151">
        <v>1842</v>
      </c>
      <c r="S151">
        <v>1938</v>
      </c>
      <c r="T151">
        <v>1242</v>
      </c>
    </row>
    <row r="152" spans="15:20" x14ac:dyDescent="0.3">
      <c r="O152">
        <v>151</v>
      </c>
      <c r="P152" t="s">
        <v>135</v>
      </c>
      <c r="Q152" t="s">
        <v>37</v>
      </c>
      <c r="R152">
        <v>2103</v>
      </c>
      <c r="S152">
        <v>1747</v>
      </c>
      <c r="T152">
        <v>1177</v>
      </c>
    </row>
    <row r="153" spans="15:20" x14ac:dyDescent="0.3">
      <c r="O153">
        <v>152</v>
      </c>
      <c r="P153" t="s">
        <v>136</v>
      </c>
      <c r="Q153" t="s">
        <v>34</v>
      </c>
      <c r="R153">
        <v>1613</v>
      </c>
      <c r="S153">
        <v>1976</v>
      </c>
      <c r="T153">
        <v>1438</v>
      </c>
    </row>
    <row r="154" spans="15:20" x14ac:dyDescent="0.3">
      <c r="O154">
        <v>153</v>
      </c>
      <c r="P154" t="s">
        <v>136</v>
      </c>
      <c r="Q154" t="s">
        <v>37</v>
      </c>
      <c r="R154">
        <v>2297</v>
      </c>
      <c r="S154">
        <v>1623</v>
      </c>
      <c r="T154">
        <v>1107</v>
      </c>
    </row>
    <row r="155" spans="15:20" x14ac:dyDescent="0.3">
      <c r="O155">
        <v>154</v>
      </c>
      <c r="P155" t="s">
        <v>137</v>
      </c>
      <c r="Q155" t="s">
        <v>34</v>
      </c>
      <c r="R155">
        <v>1387</v>
      </c>
      <c r="S155">
        <v>1182</v>
      </c>
      <c r="T155">
        <v>2456</v>
      </c>
    </row>
    <row r="156" spans="15:20" x14ac:dyDescent="0.3">
      <c r="O156">
        <v>155</v>
      </c>
      <c r="P156" t="s">
        <v>137</v>
      </c>
      <c r="Q156" t="s">
        <v>37</v>
      </c>
      <c r="R156">
        <v>2513</v>
      </c>
      <c r="S156">
        <v>1315</v>
      </c>
      <c r="T156">
        <v>1199</v>
      </c>
    </row>
    <row r="157" spans="15:20" x14ac:dyDescent="0.3">
      <c r="O157">
        <v>156</v>
      </c>
      <c r="P157" t="s">
        <v>138</v>
      </c>
      <c r="Q157" t="s">
        <v>34</v>
      </c>
      <c r="R157">
        <v>1369</v>
      </c>
      <c r="S157">
        <v>1203</v>
      </c>
      <c r="T157">
        <v>2456</v>
      </c>
    </row>
    <row r="158" spans="15:20" x14ac:dyDescent="0.3">
      <c r="O158">
        <v>157</v>
      </c>
      <c r="P158" t="s">
        <v>138</v>
      </c>
      <c r="Q158" t="s">
        <v>37</v>
      </c>
      <c r="R158">
        <v>2192</v>
      </c>
      <c r="S158">
        <v>1593</v>
      </c>
      <c r="T158">
        <v>1242</v>
      </c>
    </row>
    <row r="159" spans="15:20" x14ac:dyDescent="0.3">
      <c r="O159">
        <v>158</v>
      </c>
      <c r="P159" t="s">
        <v>139</v>
      </c>
      <c r="Q159" t="s">
        <v>34</v>
      </c>
      <c r="R159">
        <v>1326</v>
      </c>
      <c r="S159">
        <v>1131</v>
      </c>
      <c r="T159">
        <v>2570</v>
      </c>
    </row>
    <row r="160" spans="15:20" x14ac:dyDescent="0.3">
      <c r="O160">
        <v>159</v>
      </c>
      <c r="P160" t="s">
        <v>139</v>
      </c>
      <c r="Q160" t="s">
        <v>37</v>
      </c>
      <c r="R160">
        <v>1808</v>
      </c>
      <c r="S160">
        <v>1441</v>
      </c>
      <c r="T160">
        <v>1779</v>
      </c>
    </row>
    <row r="161" spans="15:20" x14ac:dyDescent="0.3">
      <c r="O161">
        <v>160</v>
      </c>
      <c r="P161" t="s">
        <v>140</v>
      </c>
      <c r="Q161" t="s">
        <v>37</v>
      </c>
      <c r="R161">
        <v>0</v>
      </c>
      <c r="S161">
        <v>0</v>
      </c>
      <c r="T161">
        <v>6403</v>
      </c>
    </row>
    <row r="162" spans="15:20" x14ac:dyDescent="0.3">
      <c r="O162">
        <v>161</v>
      </c>
      <c r="P162" t="s">
        <v>141</v>
      </c>
      <c r="Q162" t="s">
        <v>34</v>
      </c>
      <c r="R162">
        <v>1703</v>
      </c>
      <c r="S162">
        <v>1549</v>
      </c>
      <c r="T162">
        <v>1771</v>
      </c>
    </row>
    <row r="163" spans="15:20" x14ac:dyDescent="0.3">
      <c r="O163">
        <v>162</v>
      </c>
      <c r="P163" t="s">
        <v>141</v>
      </c>
      <c r="Q163" t="s">
        <v>37</v>
      </c>
      <c r="R163">
        <v>1478</v>
      </c>
      <c r="S163">
        <v>1390</v>
      </c>
      <c r="T163">
        <v>2157</v>
      </c>
    </row>
    <row r="164" spans="15:20" x14ac:dyDescent="0.3">
      <c r="O164">
        <v>163</v>
      </c>
      <c r="P164" t="s">
        <v>142</v>
      </c>
      <c r="Q164" t="s">
        <v>34</v>
      </c>
      <c r="R164">
        <v>2145</v>
      </c>
      <c r="S164">
        <v>1450</v>
      </c>
      <c r="T164">
        <v>1430</v>
      </c>
    </row>
    <row r="165" spans="15:20" x14ac:dyDescent="0.3">
      <c r="O165">
        <v>164</v>
      </c>
      <c r="P165" t="s">
        <v>142</v>
      </c>
      <c r="Q165" t="s">
        <v>37</v>
      </c>
      <c r="R165">
        <v>1478</v>
      </c>
      <c r="S165">
        <v>1499</v>
      </c>
      <c r="T165">
        <v>2049</v>
      </c>
    </row>
    <row r="166" spans="15:20" x14ac:dyDescent="0.3">
      <c r="O166">
        <v>165</v>
      </c>
      <c r="P166" t="s">
        <v>143</v>
      </c>
      <c r="Q166" t="s">
        <v>34</v>
      </c>
      <c r="R166">
        <v>1962</v>
      </c>
      <c r="S166">
        <v>1620</v>
      </c>
      <c r="T166">
        <v>1444</v>
      </c>
    </row>
    <row r="167" spans="15:20" x14ac:dyDescent="0.3">
      <c r="O167">
        <v>166</v>
      </c>
      <c r="P167" t="s">
        <v>143</v>
      </c>
      <c r="Q167" t="s">
        <v>37</v>
      </c>
      <c r="R167">
        <v>1987</v>
      </c>
      <c r="S167">
        <v>1692</v>
      </c>
      <c r="T167">
        <v>1345</v>
      </c>
    </row>
    <row r="168" spans="15:20" x14ac:dyDescent="0.3">
      <c r="O168">
        <v>167</v>
      </c>
      <c r="P168" t="s">
        <v>144</v>
      </c>
      <c r="Q168" t="s">
        <v>34</v>
      </c>
      <c r="R168">
        <v>2072</v>
      </c>
      <c r="S168">
        <v>1510</v>
      </c>
      <c r="T168">
        <v>1445</v>
      </c>
    </row>
    <row r="169" spans="15:20" x14ac:dyDescent="0.3">
      <c r="O169">
        <v>168</v>
      </c>
      <c r="P169" t="s">
        <v>144</v>
      </c>
      <c r="Q169" t="s">
        <v>37</v>
      </c>
      <c r="R169">
        <v>1408</v>
      </c>
      <c r="S169">
        <v>1975</v>
      </c>
      <c r="T169">
        <v>1643</v>
      </c>
    </row>
    <row r="170" spans="15:20" x14ac:dyDescent="0.3">
      <c r="O170">
        <v>169</v>
      </c>
      <c r="P170" t="s">
        <v>145</v>
      </c>
      <c r="Q170" t="s">
        <v>34</v>
      </c>
      <c r="R170">
        <v>1853</v>
      </c>
      <c r="S170">
        <v>1732</v>
      </c>
      <c r="T170">
        <v>1441</v>
      </c>
    </row>
    <row r="171" spans="15:20" x14ac:dyDescent="0.3">
      <c r="O171">
        <v>170</v>
      </c>
      <c r="P171" t="s">
        <v>145</v>
      </c>
      <c r="Q171" t="s">
        <v>37</v>
      </c>
      <c r="R171">
        <v>1594</v>
      </c>
      <c r="S171">
        <v>1691</v>
      </c>
      <c r="T171">
        <v>1740</v>
      </c>
    </row>
    <row r="172" spans="15:20" x14ac:dyDescent="0.3">
      <c r="O172">
        <v>171</v>
      </c>
      <c r="P172" t="s">
        <v>146</v>
      </c>
      <c r="Q172" t="s">
        <v>34</v>
      </c>
      <c r="R172">
        <v>1413</v>
      </c>
      <c r="S172">
        <v>887</v>
      </c>
      <c r="T172">
        <v>2732</v>
      </c>
    </row>
    <row r="173" spans="15:20" x14ac:dyDescent="0.3">
      <c r="O173">
        <v>172</v>
      </c>
      <c r="P173" t="s">
        <v>146</v>
      </c>
      <c r="Q173" t="s">
        <v>37</v>
      </c>
      <c r="R173">
        <v>424</v>
      </c>
      <c r="S173">
        <v>300</v>
      </c>
      <c r="T173">
        <v>4313</v>
      </c>
    </row>
    <row r="174" spans="15:20" x14ac:dyDescent="0.3">
      <c r="O174">
        <v>173</v>
      </c>
      <c r="P174" t="s">
        <v>147</v>
      </c>
      <c r="Q174" t="s">
        <v>34</v>
      </c>
      <c r="R174">
        <v>0</v>
      </c>
      <c r="S174">
        <v>0</v>
      </c>
      <c r="T174">
        <v>5041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5040</v>
      </c>
    </row>
    <row r="176" spans="15:20" x14ac:dyDescent="0.3">
      <c r="O176">
        <v>175</v>
      </c>
      <c r="P176" t="s">
        <v>148</v>
      </c>
      <c r="Q176" t="s">
        <v>34</v>
      </c>
      <c r="R176">
        <v>1791</v>
      </c>
      <c r="S176">
        <v>1748</v>
      </c>
      <c r="T176">
        <v>1487</v>
      </c>
    </row>
    <row r="177" spans="15:20" x14ac:dyDescent="0.3">
      <c r="O177">
        <v>176</v>
      </c>
      <c r="P177" t="s">
        <v>148</v>
      </c>
      <c r="Q177" t="s">
        <v>37</v>
      </c>
      <c r="R177">
        <v>1723</v>
      </c>
      <c r="S177">
        <v>2066</v>
      </c>
      <c r="T177">
        <v>1235</v>
      </c>
    </row>
    <row r="178" spans="15:20" x14ac:dyDescent="0.3">
      <c r="O178">
        <v>177</v>
      </c>
      <c r="P178" t="s">
        <v>149</v>
      </c>
      <c r="Q178" t="s">
        <v>34</v>
      </c>
      <c r="R178">
        <v>1807</v>
      </c>
      <c r="S178">
        <v>1741</v>
      </c>
      <c r="T178">
        <v>1476</v>
      </c>
    </row>
    <row r="179" spans="15:20" x14ac:dyDescent="0.3">
      <c r="O179">
        <v>178</v>
      </c>
      <c r="P179" t="s">
        <v>149</v>
      </c>
      <c r="Q179" t="s">
        <v>37</v>
      </c>
      <c r="R179">
        <v>2084</v>
      </c>
      <c r="S179">
        <v>1822</v>
      </c>
      <c r="T179">
        <v>1119</v>
      </c>
    </row>
    <row r="180" spans="15:20" x14ac:dyDescent="0.3">
      <c r="O180">
        <v>179</v>
      </c>
      <c r="P180" t="s">
        <v>150</v>
      </c>
      <c r="Q180" t="s">
        <v>34</v>
      </c>
      <c r="R180">
        <v>1877</v>
      </c>
      <c r="S180">
        <v>1700</v>
      </c>
      <c r="T180">
        <v>1450</v>
      </c>
    </row>
    <row r="181" spans="15:20" x14ac:dyDescent="0.3">
      <c r="O181">
        <v>180</v>
      </c>
      <c r="P181" t="s">
        <v>150</v>
      </c>
      <c r="Q181" t="s">
        <v>37</v>
      </c>
      <c r="R181">
        <v>2012</v>
      </c>
      <c r="S181">
        <v>1900</v>
      </c>
      <c r="T181">
        <v>1114</v>
      </c>
    </row>
    <row r="182" spans="15:20" x14ac:dyDescent="0.3">
      <c r="O182">
        <v>181</v>
      </c>
      <c r="P182" t="s">
        <v>151</v>
      </c>
      <c r="Q182" t="s">
        <v>34</v>
      </c>
      <c r="R182">
        <v>1754</v>
      </c>
      <c r="S182">
        <v>1782</v>
      </c>
      <c r="T182">
        <v>1489</v>
      </c>
    </row>
    <row r="183" spans="15:20" x14ac:dyDescent="0.3">
      <c r="O183">
        <v>182</v>
      </c>
      <c r="P183" t="s">
        <v>151</v>
      </c>
      <c r="Q183" t="s">
        <v>37</v>
      </c>
      <c r="R183">
        <v>1966</v>
      </c>
      <c r="S183">
        <v>1941</v>
      </c>
      <c r="T183">
        <v>1119</v>
      </c>
    </row>
    <row r="184" spans="15:20" x14ac:dyDescent="0.3">
      <c r="O184">
        <v>183</v>
      </c>
      <c r="P184" t="s">
        <v>152</v>
      </c>
      <c r="Q184" t="s">
        <v>34</v>
      </c>
      <c r="R184">
        <v>1587</v>
      </c>
      <c r="S184">
        <v>1503</v>
      </c>
      <c r="T184">
        <v>1936</v>
      </c>
    </row>
    <row r="185" spans="15:20" x14ac:dyDescent="0.3">
      <c r="O185">
        <v>184</v>
      </c>
      <c r="P185" t="s">
        <v>152</v>
      </c>
      <c r="Q185" t="s">
        <v>37</v>
      </c>
      <c r="R185">
        <v>1700</v>
      </c>
      <c r="S185">
        <v>1804</v>
      </c>
      <c r="T185">
        <v>1519</v>
      </c>
    </row>
    <row r="186" spans="15:20" x14ac:dyDescent="0.3">
      <c r="O186">
        <v>185</v>
      </c>
      <c r="P186" t="s">
        <v>153</v>
      </c>
      <c r="Q186" t="s">
        <v>34</v>
      </c>
      <c r="R186">
        <v>1443</v>
      </c>
      <c r="S186">
        <v>1343</v>
      </c>
      <c r="T186">
        <v>2240</v>
      </c>
    </row>
    <row r="187" spans="15:20" x14ac:dyDescent="0.3">
      <c r="O187">
        <v>186</v>
      </c>
      <c r="P187" t="s">
        <v>153</v>
      </c>
      <c r="Q187" t="s">
        <v>37</v>
      </c>
      <c r="R187">
        <v>1815</v>
      </c>
      <c r="S187">
        <v>1386</v>
      </c>
      <c r="T187">
        <v>1828</v>
      </c>
    </row>
    <row r="188" spans="15:20" x14ac:dyDescent="0.3">
      <c r="O188">
        <v>187</v>
      </c>
      <c r="P188" t="s">
        <v>154</v>
      </c>
      <c r="Q188" t="s">
        <v>34</v>
      </c>
      <c r="R188">
        <v>20</v>
      </c>
      <c r="S188">
        <v>27</v>
      </c>
      <c r="T188">
        <v>4991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5040</v>
      </c>
    </row>
    <row r="190" spans="15:20" x14ac:dyDescent="0.3">
      <c r="O190">
        <v>189</v>
      </c>
      <c r="P190" t="s">
        <v>155</v>
      </c>
      <c r="Q190" t="s">
        <v>34</v>
      </c>
      <c r="R190">
        <v>1997</v>
      </c>
      <c r="S190">
        <v>1596</v>
      </c>
      <c r="T190">
        <v>1433</v>
      </c>
    </row>
    <row r="191" spans="15:20" x14ac:dyDescent="0.3">
      <c r="O191">
        <v>190</v>
      </c>
      <c r="P191" t="s">
        <v>155</v>
      </c>
      <c r="Q191" t="s">
        <v>37</v>
      </c>
      <c r="R191">
        <v>1903</v>
      </c>
      <c r="S191">
        <v>1442</v>
      </c>
      <c r="T191">
        <v>1680</v>
      </c>
    </row>
    <row r="192" spans="15:20" x14ac:dyDescent="0.3">
      <c r="O192">
        <v>191</v>
      </c>
      <c r="P192" t="s">
        <v>156</v>
      </c>
      <c r="Q192" t="s">
        <v>34</v>
      </c>
      <c r="R192">
        <v>1943</v>
      </c>
      <c r="S192">
        <v>1651</v>
      </c>
      <c r="T192">
        <v>1430</v>
      </c>
    </row>
    <row r="193" spans="15:20" x14ac:dyDescent="0.3">
      <c r="O193">
        <v>192</v>
      </c>
      <c r="P193" t="s">
        <v>156</v>
      </c>
      <c r="Q193" t="s">
        <v>37</v>
      </c>
      <c r="R193">
        <v>2005</v>
      </c>
      <c r="S193">
        <v>1398</v>
      </c>
      <c r="T193">
        <v>1621</v>
      </c>
    </row>
    <row r="194" spans="15:20" x14ac:dyDescent="0.3">
      <c r="O194">
        <v>193</v>
      </c>
      <c r="P194" t="s">
        <v>157</v>
      </c>
      <c r="Q194" t="s">
        <v>34</v>
      </c>
      <c r="R194">
        <v>1841</v>
      </c>
      <c r="S194">
        <v>1759</v>
      </c>
      <c r="T194">
        <v>1422</v>
      </c>
    </row>
    <row r="195" spans="15:20" x14ac:dyDescent="0.3">
      <c r="O195">
        <v>194</v>
      </c>
      <c r="P195" t="s">
        <v>157</v>
      </c>
      <c r="Q195" t="s">
        <v>37</v>
      </c>
      <c r="R195">
        <v>1599</v>
      </c>
      <c r="S195">
        <v>1591</v>
      </c>
      <c r="T195">
        <v>1836</v>
      </c>
    </row>
    <row r="196" spans="15:20" x14ac:dyDescent="0.3">
      <c r="O196">
        <v>195</v>
      </c>
      <c r="P196" t="s">
        <v>158</v>
      </c>
      <c r="Q196" t="s">
        <v>34</v>
      </c>
      <c r="R196">
        <v>1795</v>
      </c>
      <c r="S196">
        <v>1805</v>
      </c>
      <c r="T196">
        <v>1426</v>
      </c>
    </row>
    <row r="197" spans="15:20" x14ac:dyDescent="0.3">
      <c r="O197">
        <v>196</v>
      </c>
      <c r="P197" t="s">
        <v>158</v>
      </c>
      <c r="Q197" t="s">
        <v>37</v>
      </c>
      <c r="R197">
        <v>1789</v>
      </c>
      <c r="S197">
        <v>2114</v>
      </c>
      <c r="T197">
        <v>1122</v>
      </c>
    </row>
    <row r="198" spans="15:20" x14ac:dyDescent="0.3">
      <c r="O198">
        <v>197</v>
      </c>
      <c r="P198" t="s">
        <v>159</v>
      </c>
      <c r="Q198" t="s">
        <v>34</v>
      </c>
      <c r="R198">
        <v>1878</v>
      </c>
      <c r="S198">
        <v>1683</v>
      </c>
      <c r="T198">
        <v>1464</v>
      </c>
    </row>
    <row r="199" spans="15:20" x14ac:dyDescent="0.3">
      <c r="O199">
        <v>198</v>
      </c>
      <c r="P199" t="s">
        <v>159</v>
      </c>
      <c r="Q199" t="s">
        <v>37</v>
      </c>
      <c r="R199">
        <v>1659</v>
      </c>
      <c r="S199">
        <v>1684</v>
      </c>
      <c r="T199">
        <v>1679</v>
      </c>
    </row>
    <row r="200" spans="15:20" x14ac:dyDescent="0.3">
      <c r="O200">
        <v>199</v>
      </c>
      <c r="P200" t="s">
        <v>160</v>
      </c>
      <c r="Q200" t="s">
        <v>34</v>
      </c>
      <c r="R200">
        <v>2008</v>
      </c>
      <c r="S200">
        <v>1385</v>
      </c>
      <c r="T200">
        <v>1636</v>
      </c>
    </row>
    <row r="201" spans="15:20" x14ac:dyDescent="0.3">
      <c r="O201">
        <v>200</v>
      </c>
      <c r="P201" t="s">
        <v>160</v>
      </c>
      <c r="Q201" t="s">
        <v>37</v>
      </c>
      <c r="R201">
        <v>1108</v>
      </c>
      <c r="S201">
        <v>1281</v>
      </c>
      <c r="T201">
        <v>2637</v>
      </c>
    </row>
    <row r="202" spans="15:20" x14ac:dyDescent="0.3">
      <c r="O202">
        <v>201</v>
      </c>
      <c r="P202" t="s">
        <v>161</v>
      </c>
      <c r="Q202" t="s">
        <v>34</v>
      </c>
      <c r="R202">
        <v>0</v>
      </c>
      <c r="S202">
        <v>0</v>
      </c>
      <c r="T202">
        <v>5040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5040</v>
      </c>
    </row>
    <row r="204" spans="15:20" x14ac:dyDescent="0.3">
      <c r="O204">
        <v>203</v>
      </c>
      <c r="P204" t="s">
        <v>162</v>
      </c>
      <c r="Q204" t="s">
        <v>34</v>
      </c>
      <c r="R204">
        <v>1538</v>
      </c>
      <c r="S204">
        <v>1039</v>
      </c>
      <c r="T204">
        <v>2453</v>
      </c>
    </row>
    <row r="205" spans="15:20" x14ac:dyDescent="0.3">
      <c r="O205">
        <v>204</v>
      </c>
      <c r="P205" t="s">
        <v>162</v>
      </c>
      <c r="Q205" t="s">
        <v>37</v>
      </c>
      <c r="R205">
        <v>1830</v>
      </c>
      <c r="S205">
        <v>1238</v>
      </c>
      <c r="T205">
        <v>1958</v>
      </c>
    </row>
    <row r="206" spans="15:20" x14ac:dyDescent="0.3">
      <c r="O206">
        <v>205</v>
      </c>
      <c r="P206" t="s">
        <v>163</v>
      </c>
      <c r="Q206" t="s">
        <v>34</v>
      </c>
      <c r="R206">
        <v>1389</v>
      </c>
      <c r="S206">
        <v>1193</v>
      </c>
      <c r="T206">
        <v>2447</v>
      </c>
    </row>
    <row r="207" spans="15:20" x14ac:dyDescent="0.3">
      <c r="O207">
        <v>206</v>
      </c>
      <c r="P207" t="s">
        <v>163</v>
      </c>
      <c r="Q207" t="s">
        <v>37</v>
      </c>
      <c r="R207">
        <v>1980</v>
      </c>
      <c r="S207">
        <v>1617</v>
      </c>
      <c r="T207">
        <v>1429</v>
      </c>
    </row>
    <row r="208" spans="15:20" x14ac:dyDescent="0.3">
      <c r="O208">
        <v>207</v>
      </c>
      <c r="P208" t="s">
        <v>164</v>
      </c>
      <c r="Q208" t="s">
        <v>34</v>
      </c>
      <c r="R208">
        <v>1757</v>
      </c>
      <c r="S208">
        <v>1331</v>
      </c>
      <c r="T208">
        <v>1939</v>
      </c>
    </row>
    <row r="209" spans="15:20" x14ac:dyDescent="0.3">
      <c r="O209">
        <v>208</v>
      </c>
      <c r="P209" t="s">
        <v>164</v>
      </c>
      <c r="Q209" t="s">
        <v>37</v>
      </c>
      <c r="R209">
        <v>2344</v>
      </c>
      <c r="S209">
        <v>1433</v>
      </c>
      <c r="T209">
        <v>1248</v>
      </c>
    </row>
    <row r="210" spans="15:20" x14ac:dyDescent="0.3">
      <c r="O210">
        <v>209</v>
      </c>
      <c r="P210" t="s">
        <v>165</v>
      </c>
      <c r="Q210" t="s">
        <v>34</v>
      </c>
      <c r="R210">
        <v>1971</v>
      </c>
      <c r="S210">
        <v>1432</v>
      </c>
      <c r="T210">
        <v>1615</v>
      </c>
    </row>
    <row r="211" spans="15:20" x14ac:dyDescent="0.3">
      <c r="O211">
        <v>210</v>
      </c>
      <c r="P211" t="s">
        <v>165</v>
      </c>
      <c r="Q211" t="s">
        <v>37</v>
      </c>
      <c r="R211">
        <v>1876</v>
      </c>
      <c r="S211">
        <v>1974</v>
      </c>
      <c r="T211">
        <v>1174</v>
      </c>
    </row>
    <row r="212" spans="15:20" x14ac:dyDescent="0.3">
      <c r="O212">
        <v>211</v>
      </c>
      <c r="P212" t="s">
        <v>166</v>
      </c>
      <c r="Q212" t="s">
        <v>34</v>
      </c>
      <c r="R212">
        <v>1566</v>
      </c>
      <c r="S212">
        <v>1474</v>
      </c>
      <c r="T212">
        <v>1986</v>
      </c>
    </row>
    <row r="213" spans="15:20" x14ac:dyDescent="0.3">
      <c r="O213">
        <v>212</v>
      </c>
      <c r="P213" t="s">
        <v>166</v>
      </c>
      <c r="Q213" t="s">
        <v>37</v>
      </c>
      <c r="R213">
        <v>1899</v>
      </c>
      <c r="S213">
        <v>1619</v>
      </c>
      <c r="T213">
        <v>1507</v>
      </c>
    </row>
    <row r="214" spans="15:20" x14ac:dyDescent="0.3">
      <c r="O214">
        <v>213</v>
      </c>
      <c r="P214" t="s">
        <v>167</v>
      </c>
      <c r="Q214" t="s">
        <v>34</v>
      </c>
      <c r="R214">
        <v>1479</v>
      </c>
      <c r="S214">
        <v>1045</v>
      </c>
      <c r="T214">
        <v>2504</v>
      </c>
    </row>
    <row r="215" spans="15:20" x14ac:dyDescent="0.3">
      <c r="O215">
        <v>214</v>
      </c>
      <c r="P215" t="s">
        <v>167</v>
      </c>
      <c r="Q215" t="s">
        <v>37</v>
      </c>
      <c r="R215">
        <v>1832</v>
      </c>
      <c r="S215">
        <v>1187</v>
      </c>
      <c r="T215">
        <v>2009</v>
      </c>
    </row>
    <row r="216" spans="15:20" x14ac:dyDescent="0.3">
      <c r="O216">
        <v>215</v>
      </c>
      <c r="P216" t="s">
        <v>168</v>
      </c>
      <c r="Q216" t="s">
        <v>34</v>
      </c>
      <c r="R216">
        <v>0</v>
      </c>
      <c r="S216">
        <v>0</v>
      </c>
      <c r="T216">
        <v>5040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5040</v>
      </c>
    </row>
    <row r="218" spans="15:20" x14ac:dyDescent="0.3">
      <c r="O218">
        <v>217</v>
      </c>
      <c r="P218" t="s">
        <v>169</v>
      </c>
      <c r="Q218" t="s">
        <v>34</v>
      </c>
      <c r="R218">
        <v>1951</v>
      </c>
      <c r="S218">
        <v>1645</v>
      </c>
      <c r="T218">
        <v>1428</v>
      </c>
    </row>
    <row r="219" spans="15:20" x14ac:dyDescent="0.3">
      <c r="O219">
        <v>218</v>
      </c>
      <c r="P219" t="s">
        <v>169</v>
      </c>
      <c r="Q219" t="s">
        <v>37</v>
      </c>
      <c r="R219">
        <v>1663</v>
      </c>
      <c r="S219">
        <v>1549</v>
      </c>
      <c r="T219">
        <v>1814</v>
      </c>
    </row>
    <row r="220" spans="15:20" x14ac:dyDescent="0.3">
      <c r="O220">
        <v>219</v>
      </c>
      <c r="P220" t="s">
        <v>170</v>
      </c>
      <c r="Q220" t="s">
        <v>34</v>
      </c>
      <c r="R220">
        <v>2321</v>
      </c>
      <c r="S220">
        <v>1264</v>
      </c>
      <c r="T220">
        <v>1440</v>
      </c>
    </row>
    <row r="221" spans="15:20" x14ac:dyDescent="0.3">
      <c r="O221">
        <v>220</v>
      </c>
      <c r="P221" t="s">
        <v>170</v>
      </c>
      <c r="Q221" t="s">
        <v>37</v>
      </c>
      <c r="R221">
        <v>2039</v>
      </c>
      <c r="S221">
        <v>1460</v>
      </c>
      <c r="T221">
        <v>1527</v>
      </c>
    </row>
    <row r="222" spans="15:20" x14ac:dyDescent="0.3">
      <c r="O222">
        <v>221</v>
      </c>
      <c r="P222" t="s">
        <v>171</v>
      </c>
      <c r="Q222" t="s">
        <v>34</v>
      </c>
      <c r="R222">
        <v>2188</v>
      </c>
      <c r="S222">
        <v>1408</v>
      </c>
      <c r="T222">
        <v>1433</v>
      </c>
    </row>
    <row r="223" spans="15:20" x14ac:dyDescent="0.3">
      <c r="O223">
        <v>222</v>
      </c>
      <c r="P223" t="s">
        <v>171</v>
      </c>
      <c r="Q223" t="s">
        <v>37</v>
      </c>
      <c r="R223">
        <v>1543</v>
      </c>
      <c r="S223">
        <v>1503</v>
      </c>
      <c r="T223">
        <v>1978</v>
      </c>
    </row>
    <row r="224" spans="15:20" x14ac:dyDescent="0.3">
      <c r="O224">
        <v>223</v>
      </c>
      <c r="P224" t="s">
        <v>172</v>
      </c>
      <c r="Q224" t="s">
        <v>34</v>
      </c>
      <c r="R224">
        <v>2109</v>
      </c>
      <c r="S224">
        <v>1489</v>
      </c>
      <c r="T224">
        <v>1429</v>
      </c>
    </row>
    <row r="225" spans="15:20" x14ac:dyDescent="0.3">
      <c r="O225">
        <v>224</v>
      </c>
      <c r="P225" t="s">
        <v>172</v>
      </c>
      <c r="Q225" t="s">
        <v>37</v>
      </c>
      <c r="R225">
        <v>1501</v>
      </c>
      <c r="S225">
        <v>1898</v>
      </c>
      <c r="T225">
        <v>1622</v>
      </c>
    </row>
    <row r="226" spans="15:20" x14ac:dyDescent="0.3">
      <c r="O226">
        <v>225</v>
      </c>
      <c r="P226" t="s">
        <v>173</v>
      </c>
      <c r="Q226" t="s">
        <v>34</v>
      </c>
      <c r="R226">
        <v>2023</v>
      </c>
      <c r="S226">
        <v>1572</v>
      </c>
      <c r="T226">
        <v>1432</v>
      </c>
    </row>
    <row r="227" spans="15:20" x14ac:dyDescent="0.3">
      <c r="O227">
        <v>226</v>
      </c>
      <c r="P227" t="s">
        <v>173</v>
      </c>
      <c r="Q227" t="s">
        <v>37</v>
      </c>
      <c r="R227">
        <v>1804</v>
      </c>
      <c r="S227">
        <v>1542</v>
      </c>
      <c r="T227">
        <v>1679</v>
      </c>
    </row>
    <row r="228" spans="15:20" x14ac:dyDescent="0.3">
      <c r="O228">
        <v>227</v>
      </c>
      <c r="P228" t="s">
        <v>174</v>
      </c>
      <c r="Q228" t="s">
        <v>34</v>
      </c>
      <c r="R228">
        <v>1905</v>
      </c>
      <c r="S228">
        <v>963</v>
      </c>
      <c r="T228">
        <v>2160</v>
      </c>
    </row>
    <row r="229" spans="15:20" x14ac:dyDescent="0.3">
      <c r="O229">
        <v>228</v>
      </c>
      <c r="P229" t="s">
        <v>174</v>
      </c>
      <c r="Q229" t="s">
        <v>37</v>
      </c>
      <c r="R229">
        <v>578</v>
      </c>
      <c r="S229">
        <v>365</v>
      </c>
      <c r="T229">
        <v>4094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5040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5040</v>
      </c>
    </row>
    <row r="232" spans="15:20" x14ac:dyDescent="0.3">
      <c r="O232">
        <v>231</v>
      </c>
      <c r="P232" t="s">
        <v>176</v>
      </c>
      <c r="Q232" t="s">
        <v>34</v>
      </c>
      <c r="R232">
        <v>1732</v>
      </c>
      <c r="S232">
        <v>748</v>
      </c>
      <c r="T232">
        <v>2548</v>
      </c>
    </row>
    <row r="233" spans="15:20" x14ac:dyDescent="0.3">
      <c r="O233">
        <v>232</v>
      </c>
      <c r="P233" t="s">
        <v>176</v>
      </c>
      <c r="Q233" t="s">
        <v>37</v>
      </c>
      <c r="R233">
        <v>2002</v>
      </c>
      <c r="S233">
        <v>1790</v>
      </c>
      <c r="T233">
        <v>1233</v>
      </c>
    </row>
    <row r="234" spans="15:20" x14ac:dyDescent="0.3">
      <c r="O234">
        <v>233</v>
      </c>
      <c r="P234" t="s">
        <v>177</v>
      </c>
      <c r="Q234" t="s">
        <v>34</v>
      </c>
      <c r="R234">
        <v>2088</v>
      </c>
      <c r="S234">
        <v>1517</v>
      </c>
      <c r="T234">
        <v>1421</v>
      </c>
    </row>
    <row r="235" spans="15:20" x14ac:dyDescent="0.3">
      <c r="O235">
        <v>234</v>
      </c>
      <c r="P235" t="s">
        <v>177</v>
      </c>
      <c r="Q235" t="s">
        <v>37</v>
      </c>
      <c r="R235">
        <v>2202</v>
      </c>
      <c r="S235">
        <v>1536</v>
      </c>
      <c r="T235">
        <v>1288</v>
      </c>
    </row>
    <row r="236" spans="15:20" x14ac:dyDescent="0.3">
      <c r="O236">
        <v>235</v>
      </c>
      <c r="P236" t="s">
        <v>178</v>
      </c>
      <c r="Q236" t="s">
        <v>34</v>
      </c>
      <c r="R236">
        <v>1799</v>
      </c>
      <c r="S236">
        <v>1271</v>
      </c>
      <c r="T236">
        <v>1959</v>
      </c>
    </row>
    <row r="237" spans="15:20" x14ac:dyDescent="0.3">
      <c r="O237">
        <v>236</v>
      </c>
      <c r="P237" t="s">
        <v>178</v>
      </c>
      <c r="Q237" t="s">
        <v>37</v>
      </c>
      <c r="R237">
        <v>1900</v>
      </c>
      <c r="S237">
        <v>1606</v>
      </c>
      <c r="T237">
        <v>1518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5040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5040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5040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5040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5042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5040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5040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5040</v>
      </c>
    </row>
    <row r="246" spans="15:20" x14ac:dyDescent="0.3">
      <c r="O246">
        <v>245</v>
      </c>
      <c r="P246" t="s">
        <v>183</v>
      </c>
      <c r="Q246" t="s">
        <v>34</v>
      </c>
      <c r="R246">
        <v>1812</v>
      </c>
      <c r="S246">
        <v>1796</v>
      </c>
      <c r="T246">
        <v>1421</v>
      </c>
    </row>
    <row r="247" spans="15:20" x14ac:dyDescent="0.3">
      <c r="O247">
        <v>246</v>
      </c>
      <c r="P247" t="s">
        <v>183</v>
      </c>
      <c r="Q247" t="s">
        <v>37</v>
      </c>
      <c r="R247">
        <v>2256</v>
      </c>
      <c r="S247">
        <v>1377</v>
      </c>
      <c r="T247">
        <v>1393</v>
      </c>
    </row>
    <row r="248" spans="15:20" x14ac:dyDescent="0.3">
      <c r="O248">
        <v>247</v>
      </c>
      <c r="P248" t="s">
        <v>184</v>
      </c>
      <c r="Q248" t="s">
        <v>34</v>
      </c>
      <c r="R248">
        <v>1844</v>
      </c>
      <c r="S248">
        <v>1755</v>
      </c>
      <c r="T248">
        <v>1429</v>
      </c>
    </row>
    <row r="249" spans="15:20" x14ac:dyDescent="0.3">
      <c r="O249">
        <v>248</v>
      </c>
      <c r="P249" t="s">
        <v>184</v>
      </c>
      <c r="Q249" t="s">
        <v>37</v>
      </c>
      <c r="R249">
        <v>2222</v>
      </c>
      <c r="S249">
        <v>1194</v>
      </c>
      <c r="T249">
        <v>1610</v>
      </c>
    </row>
    <row r="250" spans="15:20" x14ac:dyDescent="0.3">
      <c r="O250">
        <v>249</v>
      </c>
      <c r="P250" t="s">
        <v>185</v>
      </c>
      <c r="Q250" t="s">
        <v>34</v>
      </c>
      <c r="R250">
        <v>1967</v>
      </c>
      <c r="S250">
        <v>1633</v>
      </c>
      <c r="T250">
        <v>1423</v>
      </c>
    </row>
    <row r="251" spans="15:20" x14ac:dyDescent="0.3">
      <c r="O251">
        <v>250</v>
      </c>
      <c r="P251" t="s">
        <v>185</v>
      </c>
      <c r="Q251" t="s">
        <v>37</v>
      </c>
      <c r="R251">
        <v>2203</v>
      </c>
      <c r="S251">
        <v>1575</v>
      </c>
      <c r="T251">
        <v>1246</v>
      </c>
    </row>
    <row r="252" spans="15:20" x14ac:dyDescent="0.3">
      <c r="O252">
        <v>251</v>
      </c>
      <c r="P252" t="s">
        <v>186</v>
      </c>
      <c r="Q252" t="s">
        <v>34</v>
      </c>
      <c r="R252">
        <v>1787</v>
      </c>
      <c r="S252">
        <v>1817</v>
      </c>
      <c r="T252">
        <v>1421</v>
      </c>
    </row>
    <row r="253" spans="15:20" x14ac:dyDescent="0.3">
      <c r="O253">
        <v>252</v>
      </c>
      <c r="P253" t="s">
        <v>186</v>
      </c>
      <c r="Q253" t="s">
        <v>37</v>
      </c>
      <c r="R253">
        <v>2153</v>
      </c>
      <c r="S253">
        <v>1702</v>
      </c>
      <c r="T253">
        <v>1170</v>
      </c>
    </row>
    <row r="254" spans="15:20" x14ac:dyDescent="0.3">
      <c r="O254">
        <v>253</v>
      </c>
      <c r="P254" t="s">
        <v>187</v>
      </c>
      <c r="Q254" t="s">
        <v>34</v>
      </c>
      <c r="R254">
        <v>1835</v>
      </c>
      <c r="S254">
        <v>1777</v>
      </c>
      <c r="T254">
        <v>1414</v>
      </c>
    </row>
    <row r="255" spans="15:20" x14ac:dyDescent="0.3">
      <c r="O255">
        <v>254</v>
      </c>
      <c r="P255" t="s">
        <v>187</v>
      </c>
      <c r="Q255" t="s">
        <v>37</v>
      </c>
      <c r="R255">
        <v>2034</v>
      </c>
      <c r="S255">
        <v>1740</v>
      </c>
      <c r="T255">
        <v>1252</v>
      </c>
    </row>
    <row r="256" spans="15:20" x14ac:dyDescent="0.3">
      <c r="O256">
        <v>255</v>
      </c>
      <c r="P256" t="s">
        <v>188</v>
      </c>
      <c r="Q256" t="s">
        <v>34</v>
      </c>
      <c r="R256">
        <v>1749</v>
      </c>
      <c r="S256">
        <v>1610</v>
      </c>
      <c r="T256">
        <v>1668</v>
      </c>
    </row>
    <row r="257" spans="15:20" x14ac:dyDescent="0.3">
      <c r="O257">
        <v>256</v>
      </c>
      <c r="P257" t="s">
        <v>188</v>
      </c>
      <c r="Q257" t="s">
        <v>37</v>
      </c>
      <c r="R257">
        <v>1915</v>
      </c>
      <c r="S257">
        <v>1344</v>
      </c>
      <c r="T257">
        <v>1768</v>
      </c>
    </row>
    <row r="258" spans="15:20" x14ac:dyDescent="0.3">
      <c r="O258">
        <v>257</v>
      </c>
      <c r="P258" t="s">
        <v>189</v>
      </c>
      <c r="Q258" t="s">
        <v>34</v>
      </c>
      <c r="R258">
        <v>0</v>
      </c>
      <c r="S258">
        <v>0</v>
      </c>
      <c r="T258">
        <v>5040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5040</v>
      </c>
    </row>
    <row r="260" spans="15:20" x14ac:dyDescent="0.3">
      <c r="O260">
        <v>259</v>
      </c>
      <c r="P260" t="s">
        <v>190</v>
      </c>
      <c r="Q260" t="s">
        <v>34</v>
      </c>
      <c r="R260">
        <v>2125</v>
      </c>
      <c r="S260">
        <v>1490</v>
      </c>
      <c r="T260">
        <v>1411</v>
      </c>
    </row>
    <row r="261" spans="15:20" x14ac:dyDescent="0.3">
      <c r="O261">
        <v>260</v>
      </c>
      <c r="P261" t="s">
        <v>190</v>
      </c>
      <c r="Q261" t="s">
        <v>37</v>
      </c>
      <c r="R261">
        <v>2461</v>
      </c>
      <c r="S261">
        <v>1232</v>
      </c>
      <c r="T261">
        <v>1333</v>
      </c>
    </row>
    <row r="262" spans="15:20" x14ac:dyDescent="0.3">
      <c r="O262">
        <v>261</v>
      </c>
      <c r="P262" t="s">
        <v>191</v>
      </c>
      <c r="Q262" t="s">
        <v>34</v>
      </c>
      <c r="R262">
        <v>2068</v>
      </c>
      <c r="S262">
        <v>1540</v>
      </c>
      <c r="T262">
        <v>1415</v>
      </c>
    </row>
    <row r="263" spans="15:20" x14ac:dyDescent="0.3">
      <c r="O263">
        <v>262</v>
      </c>
      <c r="P263" t="s">
        <v>191</v>
      </c>
      <c r="Q263" t="s">
        <v>37</v>
      </c>
      <c r="R263">
        <v>2144</v>
      </c>
      <c r="S263">
        <v>1675</v>
      </c>
      <c r="T263">
        <v>1208</v>
      </c>
    </row>
    <row r="264" spans="15:20" x14ac:dyDescent="0.3">
      <c r="O264">
        <v>263</v>
      </c>
      <c r="P264" t="s">
        <v>192</v>
      </c>
      <c r="Q264" t="s">
        <v>34</v>
      </c>
      <c r="R264">
        <v>2281</v>
      </c>
      <c r="S264">
        <v>1328</v>
      </c>
      <c r="T264">
        <v>1417</v>
      </c>
    </row>
    <row r="265" spans="15:20" x14ac:dyDescent="0.3">
      <c r="O265">
        <v>264</v>
      </c>
      <c r="P265" t="s">
        <v>192</v>
      </c>
      <c r="Q265" t="s">
        <v>37</v>
      </c>
      <c r="R265">
        <v>2024</v>
      </c>
      <c r="S265">
        <v>1780</v>
      </c>
      <c r="T265">
        <v>1219</v>
      </c>
    </row>
    <row r="266" spans="15:20" x14ac:dyDescent="0.3">
      <c r="O266">
        <v>265</v>
      </c>
      <c r="P266" t="s">
        <v>193</v>
      </c>
      <c r="Q266" t="s">
        <v>34</v>
      </c>
      <c r="R266">
        <v>2009</v>
      </c>
      <c r="S266">
        <v>1604</v>
      </c>
      <c r="T266">
        <v>1412</v>
      </c>
    </row>
    <row r="267" spans="15:20" x14ac:dyDescent="0.3">
      <c r="O267">
        <v>266</v>
      </c>
      <c r="P267" t="s">
        <v>193</v>
      </c>
      <c r="Q267" t="s">
        <v>37</v>
      </c>
      <c r="R267">
        <v>2083</v>
      </c>
      <c r="S267">
        <v>1707</v>
      </c>
      <c r="T267">
        <v>1232</v>
      </c>
    </row>
    <row r="268" spans="15:20" x14ac:dyDescent="0.3">
      <c r="O268">
        <v>267</v>
      </c>
      <c r="P268" t="s">
        <v>194</v>
      </c>
      <c r="Q268" t="s">
        <v>34</v>
      </c>
      <c r="R268">
        <v>2043</v>
      </c>
      <c r="S268">
        <v>1569</v>
      </c>
      <c r="T268">
        <v>1415</v>
      </c>
    </row>
    <row r="269" spans="15:20" x14ac:dyDescent="0.3">
      <c r="O269">
        <v>268</v>
      </c>
      <c r="P269" t="s">
        <v>194</v>
      </c>
      <c r="Q269" t="s">
        <v>37</v>
      </c>
      <c r="R269">
        <v>2075</v>
      </c>
      <c r="S269">
        <v>1759</v>
      </c>
      <c r="T269">
        <v>1191</v>
      </c>
    </row>
    <row r="270" spans="15:20" x14ac:dyDescent="0.3">
      <c r="O270">
        <v>269</v>
      </c>
      <c r="P270" t="s">
        <v>195</v>
      </c>
      <c r="Q270" t="s">
        <v>34</v>
      </c>
      <c r="R270">
        <v>2037</v>
      </c>
      <c r="S270">
        <v>1366</v>
      </c>
      <c r="T270">
        <v>1626</v>
      </c>
    </row>
    <row r="271" spans="15:20" x14ac:dyDescent="0.3">
      <c r="O271">
        <v>270</v>
      </c>
      <c r="P271" t="s">
        <v>195</v>
      </c>
      <c r="Q271" t="s">
        <v>37</v>
      </c>
      <c r="R271">
        <v>1901</v>
      </c>
      <c r="S271">
        <v>1359</v>
      </c>
      <c r="T271">
        <v>1765</v>
      </c>
    </row>
    <row r="272" spans="15:20" x14ac:dyDescent="0.3">
      <c r="O272">
        <v>271</v>
      </c>
      <c r="P272" t="s">
        <v>196</v>
      </c>
      <c r="Q272" t="s">
        <v>34</v>
      </c>
      <c r="R272">
        <v>1064</v>
      </c>
      <c r="S272">
        <v>840</v>
      </c>
      <c r="T272">
        <v>3128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5040</v>
      </c>
    </row>
    <row r="274" spans="15:20" x14ac:dyDescent="0.3">
      <c r="O274">
        <v>273</v>
      </c>
      <c r="P274" t="s">
        <v>197</v>
      </c>
      <c r="Q274" t="s">
        <v>34</v>
      </c>
      <c r="R274">
        <v>1840</v>
      </c>
      <c r="S274">
        <v>1768</v>
      </c>
      <c r="T274">
        <v>1415</v>
      </c>
    </row>
    <row r="275" spans="15:20" x14ac:dyDescent="0.3">
      <c r="O275">
        <v>274</v>
      </c>
      <c r="P275" t="s">
        <v>197</v>
      </c>
      <c r="Q275" t="s">
        <v>37</v>
      </c>
      <c r="R275">
        <v>2143</v>
      </c>
      <c r="S275">
        <v>1756</v>
      </c>
      <c r="T275">
        <v>1126</v>
      </c>
    </row>
    <row r="276" spans="15:20" x14ac:dyDescent="0.3">
      <c r="O276">
        <v>275</v>
      </c>
      <c r="P276" t="s">
        <v>198</v>
      </c>
      <c r="Q276" t="s">
        <v>34</v>
      </c>
      <c r="R276">
        <v>1986</v>
      </c>
      <c r="S276">
        <v>1620</v>
      </c>
      <c r="T276">
        <v>1419</v>
      </c>
    </row>
    <row r="277" spans="15:20" x14ac:dyDescent="0.3">
      <c r="O277">
        <v>276</v>
      </c>
      <c r="P277" t="s">
        <v>198</v>
      </c>
      <c r="Q277" t="s">
        <v>37</v>
      </c>
      <c r="R277">
        <v>1927</v>
      </c>
      <c r="S277">
        <v>1434</v>
      </c>
      <c r="T277">
        <v>1663</v>
      </c>
    </row>
    <row r="278" spans="15:20" x14ac:dyDescent="0.3">
      <c r="O278">
        <v>277</v>
      </c>
      <c r="P278" t="s">
        <v>199</v>
      </c>
      <c r="Q278" t="s">
        <v>34</v>
      </c>
      <c r="R278">
        <v>1908</v>
      </c>
      <c r="S278">
        <v>1700</v>
      </c>
      <c r="T278">
        <v>1418</v>
      </c>
    </row>
    <row r="279" spans="15:20" x14ac:dyDescent="0.3">
      <c r="O279">
        <v>278</v>
      </c>
      <c r="P279" t="s">
        <v>199</v>
      </c>
      <c r="Q279" t="s">
        <v>37</v>
      </c>
      <c r="R279">
        <v>2015</v>
      </c>
      <c r="S279">
        <v>1498</v>
      </c>
      <c r="T279">
        <v>1511</v>
      </c>
    </row>
    <row r="280" spans="15:20" x14ac:dyDescent="0.3">
      <c r="O280">
        <v>279</v>
      </c>
      <c r="P280" t="s">
        <v>200</v>
      </c>
      <c r="Q280" t="s">
        <v>34</v>
      </c>
      <c r="R280">
        <v>1975</v>
      </c>
      <c r="S280">
        <v>1634</v>
      </c>
      <c r="T280">
        <v>1417</v>
      </c>
    </row>
    <row r="281" spans="15:20" x14ac:dyDescent="0.3">
      <c r="O281">
        <v>280</v>
      </c>
      <c r="P281" t="s">
        <v>200</v>
      </c>
      <c r="Q281" t="s">
        <v>37</v>
      </c>
      <c r="R281">
        <v>2155</v>
      </c>
      <c r="S281">
        <v>1248</v>
      </c>
      <c r="T281">
        <v>1622</v>
      </c>
    </row>
    <row r="282" spans="15:20" x14ac:dyDescent="0.3">
      <c r="O282">
        <v>281</v>
      </c>
      <c r="P282" t="s">
        <v>201</v>
      </c>
      <c r="Q282" t="s">
        <v>34</v>
      </c>
      <c r="R282">
        <v>1813</v>
      </c>
      <c r="S282">
        <v>1788</v>
      </c>
      <c r="T282">
        <v>1426</v>
      </c>
    </row>
    <row r="283" spans="15:20" x14ac:dyDescent="0.3">
      <c r="O283">
        <v>282</v>
      </c>
      <c r="P283" t="s">
        <v>201</v>
      </c>
      <c r="Q283" t="s">
        <v>37</v>
      </c>
      <c r="R283">
        <v>2088</v>
      </c>
      <c r="S283">
        <v>1677</v>
      </c>
      <c r="T283">
        <v>1261</v>
      </c>
    </row>
    <row r="284" spans="15:20" x14ac:dyDescent="0.3">
      <c r="O284">
        <v>283</v>
      </c>
      <c r="P284" t="s">
        <v>202</v>
      </c>
      <c r="Q284" t="s">
        <v>34</v>
      </c>
      <c r="R284">
        <v>1985</v>
      </c>
      <c r="S284">
        <v>1430</v>
      </c>
      <c r="T284">
        <v>1610</v>
      </c>
    </row>
    <row r="285" spans="15:20" x14ac:dyDescent="0.3">
      <c r="O285">
        <v>284</v>
      </c>
      <c r="P285" t="s">
        <v>202</v>
      </c>
      <c r="Q285" t="s">
        <v>37</v>
      </c>
      <c r="R285">
        <v>1918</v>
      </c>
      <c r="S285">
        <v>1351</v>
      </c>
      <c r="T285">
        <v>1758</v>
      </c>
    </row>
    <row r="286" spans="15:20" x14ac:dyDescent="0.3">
      <c r="O286">
        <v>285</v>
      </c>
      <c r="P286" t="s">
        <v>203</v>
      </c>
      <c r="Q286" t="s">
        <v>34</v>
      </c>
      <c r="R286">
        <v>0</v>
      </c>
      <c r="S286">
        <v>0</v>
      </c>
      <c r="T286">
        <v>5040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5040</v>
      </c>
    </row>
    <row r="288" spans="15:20" x14ac:dyDescent="0.3">
      <c r="O288">
        <v>287</v>
      </c>
      <c r="P288" t="s">
        <v>204</v>
      </c>
      <c r="Q288" t="s">
        <v>34</v>
      </c>
      <c r="R288">
        <v>1994</v>
      </c>
      <c r="S288">
        <v>1623</v>
      </c>
      <c r="T288">
        <v>1406</v>
      </c>
    </row>
    <row r="289" spans="15:20" x14ac:dyDescent="0.3">
      <c r="O289">
        <v>288</v>
      </c>
      <c r="P289" t="s">
        <v>204</v>
      </c>
      <c r="Q289" t="s">
        <v>37</v>
      </c>
      <c r="R289">
        <v>2046</v>
      </c>
      <c r="S289">
        <v>1798</v>
      </c>
      <c r="T289">
        <v>1185</v>
      </c>
    </row>
    <row r="290" spans="15:20" x14ac:dyDescent="0.3">
      <c r="O290">
        <v>289</v>
      </c>
      <c r="P290" t="s">
        <v>205</v>
      </c>
      <c r="Q290" t="s">
        <v>34</v>
      </c>
      <c r="R290">
        <v>2213</v>
      </c>
      <c r="S290">
        <v>1404</v>
      </c>
      <c r="T290">
        <v>1407</v>
      </c>
    </row>
    <row r="291" spans="15:20" x14ac:dyDescent="0.3">
      <c r="O291">
        <v>290</v>
      </c>
      <c r="P291" t="s">
        <v>205</v>
      </c>
      <c r="Q291" t="s">
        <v>37</v>
      </c>
      <c r="R291">
        <v>2057</v>
      </c>
      <c r="S291">
        <v>1756</v>
      </c>
      <c r="T291">
        <v>1213</v>
      </c>
    </row>
    <row r="292" spans="15:20" x14ac:dyDescent="0.3">
      <c r="O292">
        <v>291</v>
      </c>
      <c r="P292" t="s">
        <v>206</v>
      </c>
      <c r="Q292" t="s">
        <v>34</v>
      </c>
      <c r="R292">
        <v>2179</v>
      </c>
      <c r="S292">
        <v>1437</v>
      </c>
      <c r="T292">
        <v>1411</v>
      </c>
    </row>
    <row r="293" spans="15:20" x14ac:dyDescent="0.3">
      <c r="O293">
        <v>292</v>
      </c>
      <c r="P293" t="s">
        <v>206</v>
      </c>
      <c r="Q293" t="s">
        <v>37</v>
      </c>
      <c r="R293">
        <v>2010</v>
      </c>
      <c r="S293">
        <v>1884</v>
      </c>
      <c r="T293">
        <v>1130</v>
      </c>
    </row>
    <row r="294" spans="15:20" x14ac:dyDescent="0.3">
      <c r="O294">
        <v>293</v>
      </c>
      <c r="P294" t="s">
        <v>207</v>
      </c>
      <c r="Q294" t="s">
        <v>34</v>
      </c>
      <c r="R294">
        <v>2060</v>
      </c>
      <c r="S294">
        <v>1531</v>
      </c>
      <c r="T294">
        <v>1433</v>
      </c>
    </row>
    <row r="295" spans="15:20" x14ac:dyDescent="0.3">
      <c r="O295">
        <v>294</v>
      </c>
      <c r="P295" t="s">
        <v>207</v>
      </c>
      <c r="Q295" t="s">
        <v>37</v>
      </c>
      <c r="R295">
        <v>1896</v>
      </c>
      <c r="S295">
        <v>1982</v>
      </c>
      <c r="T295">
        <v>1147</v>
      </c>
    </row>
    <row r="296" spans="15:20" x14ac:dyDescent="0.3">
      <c r="O296">
        <v>295</v>
      </c>
      <c r="P296" t="s">
        <v>208</v>
      </c>
      <c r="Q296" t="s">
        <v>34</v>
      </c>
      <c r="R296">
        <v>2280</v>
      </c>
      <c r="S296">
        <v>1339</v>
      </c>
      <c r="T296">
        <v>1407</v>
      </c>
    </row>
    <row r="297" spans="15:20" x14ac:dyDescent="0.3">
      <c r="O297">
        <v>296</v>
      </c>
      <c r="P297" t="s">
        <v>208</v>
      </c>
      <c r="Q297" t="s">
        <v>37</v>
      </c>
      <c r="R297">
        <v>2065</v>
      </c>
      <c r="S297">
        <v>1738</v>
      </c>
      <c r="T297">
        <v>1218</v>
      </c>
    </row>
    <row r="298" spans="15:20" x14ac:dyDescent="0.3">
      <c r="O298">
        <v>297</v>
      </c>
      <c r="P298" t="s">
        <v>209</v>
      </c>
      <c r="Q298" t="s">
        <v>34</v>
      </c>
      <c r="R298">
        <v>812</v>
      </c>
      <c r="S298">
        <v>740</v>
      </c>
      <c r="T298">
        <v>3482</v>
      </c>
    </row>
    <row r="299" spans="15:20" x14ac:dyDescent="0.3">
      <c r="O299">
        <v>298</v>
      </c>
      <c r="P299" t="s">
        <v>209</v>
      </c>
      <c r="Q299" t="s">
        <v>37</v>
      </c>
      <c r="R299">
        <v>1065</v>
      </c>
      <c r="S299">
        <v>726</v>
      </c>
      <c r="T299">
        <v>3241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4910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5040</v>
      </c>
    </row>
    <row r="302" spans="15:20" x14ac:dyDescent="0.3">
      <c r="O302">
        <v>301</v>
      </c>
      <c r="P302" t="s">
        <v>33</v>
      </c>
      <c r="Q302" t="s">
        <v>34</v>
      </c>
      <c r="R302">
        <v>1848</v>
      </c>
      <c r="S302">
        <v>1756</v>
      </c>
      <c r="T302">
        <v>1421</v>
      </c>
    </row>
    <row r="303" spans="15:20" x14ac:dyDescent="0.3">
      <c r="O303">
        <v>302</v>
      </c>
      <c r="P303" t="s">
        <v>33</v>
      </c>
      <c r="Q303" t="s">
        <v>37</v>
      </c>
      <c r="R303">
        <v>2126</v>
      </c>
      <c r="S303">
        <v>1771</v>
      </c>
      <c r="T303">
        <v>1128</v>
      </c>
    </row>
    <row r="304" spans="15:20" x14ac:dyDescent="0.3">
      <c r="O304">
        <v>303</v>
      </c>
      <c r="P304" t="s">
        <v>39</v>
      </c>
      <c r="Q304" t="s">
        <v>34</v>
      </c>
      <c r="R304">
        <v>1977</v>
      </c>
      <c r="S304">
        <v>1629</v>
      </c>
      <c r="T304">
        <v>1420</v>
      </c>
    </row>
    <row r="305" spans="15:20" x14ac:dyDescent="0.3">
      <c r="O305">
        <v>304</v>
      </c>
      <c r="P305" t="s">
        <v>39</v>
      </c>
      <c r="Q305" t="s">
        <v>37</v>
      </c>
      <c r="R305">
        <v>2068</v>
      </c>
      <c r="S305">
        <v>1820</v>
      </c>
      <c r="T305">
        <v>1137</v>
      </c>
    </row>
    <row r="306" spans="15:20" x14ac:dyDescent="0.3">
      <c r="O306">
        <v>305</v>
      </c>
      <c r="P306" t="s">
        <v>43</v>
      </c>
      <c r="Q306" t="s">
        <v>34</v>
      </c>
      <c r="R306">
        <v>1831</v>
      </c>
      <c r="S306">
        <v>1766</v>
      </c>
      <c r="T306">
        <v>1428</v>
      </c>
    </row>
    <row r="307" spans="15:20" x14ac:dyDescent="0.3">
      <c r="O307">
        <v>306</v>
      </c>
      <c r="P307" t="s">
        <v>43</v>
      </c>
      <c r="Q307" t="s">
        <v>37</v>
      </c>
      <c r="R307">
        <v>1994</v>
      </c>
      <c r="S307">
        <v>1840</v>
      </c>
      <c r="T307">
        <v>1189</v>
      </c>
    </row>
    <row r="308" spans="15:20" x14ac:dyDescent="0.3">
      <c r="O308">
        <v>307</v>
      </c>
      <c r="P308" t="s">
        <v>48</v>
      </c>
      <c r="Q308" t="s">
        <v>34</v>
      </c>
      <c r="R308">
        <v>1795</v>
      </c>
      <c r="S308">
        <v>1816</v>
      </c>
      <c r="T308">
        <v>1416</v>
      </c>
    </row>
    <row r="309" spans="15:20" x14ac:dyDescent="0.3">
      <c r="O309">
        <v>308</v>
      </c>
      <c r="P309" t="s">
        <v>48</v>
      </c>
      <c r="Q309" t="s">
        <v>37</v>
      </c>
      <c r="R309">
        <v>2105</v>
      </c>
      <c r="S309">
        <v>1741</v>
      </c>
      <c r="T309">
        <v>1177</v>
      </c>
    </row>
    <row r="310" spans="15:20" x14ac:dyDescent="0.3">
      <c r="O310">
        <v>309</v>
      </c>
      <c r="P310" t="s">
        <v>52</v>
      </c>
      <c r="Q310" t="s">
        <v>34</v>
      </c>
      <c r="R310">
        <v>1643</v>
      </c>
      <c r="S310">
        <v>1955</v>
      </c>
      <c r="T310">
        <v>1430</v>
      </c>
    </row>
    <row r="311" spans="15:20" x14ac:dyDescent="0.3">
      <c r="O311">
        <v>310</v>
      </c>
      <c r="P311" t="s">
        <v>52</v>
      </c>
      <c r="Q311" t="s">
        <v>37</v>
      </c>
      <c r="R311">
        <v>2176</v>
      </c>
      <c r="S311">
        <v>1699</v>
      </c>
      <c r="T311">
        <v>1149</v>
      </c>
    </row>
    <row r="312" spans="15:20" x14ac:dyDescent="0.3">
      <c r="O312">
        <v>311</v>
      </c>
      <c r="P312" t="s">
        <v>56</v>
      </c>
      <c r="Q312" t="s">
        <v>34</v>
      </c>
      <c r="R312">
        <v>1788</v>
      </c>
      <c r="S312">
        <v>1313</v>
      </c>
      <c r="T312">
        <v>1921</v>
      </c>
    </row>
    <row r="313" spans="15:20" x14ac:dyDescent="0.3">
      <c r="O313">
        <v>312</v>
      </c>
      <c r="P313" t="s">
        <v>56</v>
      </c>
      <c r="Q313" t="s">
        <v>37</v>
      </c>
      <c r="R313">
        <v>1637</v>
      </c>
      <c r="S313">
        <v>1385</v>
      </c>
      <c r="T313">
        <v>2005</v>
      </c>
    </row>
    <row r="314" spans="15:20" x14ac:dyDescent="0.3">
      <c r="O314">
        <v>313</v>
      </c>
      <c r="P314" t="s">
        <v>60</v>
      </c>
      <c r="Q314" t="s">
        <v>34</v>
      </c>
      <c r="R314">
        <v>0</v>
      </c>
      <c r="S314">
        <v>0</v>
      </c>
      <c r="T314">
        <v>5041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5040</v>
      </c>
    </row>
    <row r="316" spans="15:20" x14ac:dyDescent="0.3">
      <c r="O316">
        <v>315</v>
      </c>
      <c r="P316" t="s">
        <v>62</v>
      </c>
      <c r="Q316" t="s">
        <v>34</v>
      </c>
      <c r="R316">
        <v>2019</v>
      </c>
      <c r="S316">
        <v>1500</v>
      </c>
      <c r="T316">
        <v>1506</v>
      </c>
    </row>
    <row r="317" spans="15:20" x14ac:dyDescent="0.3">
      <c r="O317">
        <v>316</v>
      </c>
      <c r="P317" t="s">
        <v>62</v>
      </c>
      <c r="Q317" t="s">
        <v>37</v>
      </c>
      <c r="R317">
        <v>1591</v>
      </c>
      <c r="S317">
        <v>1634</v>
      </c>
      <c r="T317">
        <v>1802</v>
      </c>
    </row>
    <row r="318" spans="15:20" x14ac:dyDescent="0.3">
      <c r="O318">
        <v>317</v>
      </c>
      <c r="P318" t="s">
        <v>64</v>
      </c>
      <c r="Q318" t="s">
        <v>34</v>
      </c>
      <c r="R318">
        <v>1824</v>
      </c>
      <c r="S318">
        <v>1277</v>
      </c>
      <c r="T318">
        <v>1927</v>
      </c>
    </row>
    <row r="319" spans="15:20" x14ac:dyDescent="0.3">
      <c r="O319">
        <v>318</v>
      </c>
      <c r="P319" t="s">
        <v>64</v>
      </c>
      <c r="Q319" t="s">
        <v>37</v>
      </c>
      <c r="R319">
        <v>2032</v>
      </c>
      <c r="S319">
        <v>1683</v>
      </c>
      <c r="T319">
        <v>1311</v>
      </c>
    </row>
    <row r="320" spans="15:20" x14ac:dyDescent="0.3">
      <c r="O320">
        <v>319</v>
      </c>
      <c r="P320" t="s">
        <v>66</v>
      </c>
      <c r="Q320" t="s">
        <v>34</v>
      </c>
      <c r="R320">
        <v>1847</v>
      </c>
      <c r="S320">
        <v>1778</v>
      </c>
      <c r="T320">
        <v>1403</v>
      </c>
    </row>
    <row r="321" spans="15:20" x14ac:dyDescent="0.3">
      <c r="O321">
        <v>320</v>
      </c>
      <c r="P321" t="s">
        <v>66</v>
      </c>
      <c r="Q321" t="s">
        <v>37</v>
      </c>
      <c r="R321">
        <v>1910</v>
      </c>
      <c r="S321">
        <v>1685</v>
      </c>
      <c r="T321">
        <v>1429</v>
      </c>
    </row>
    <row r="322" spans="15:20" x14ac:dyDescent="0.3">
      <c r="O322">
        <v>321</v>
      </c>
      <c r="P322" t="s">
        <v>68</v>
      </c>
      <c r="Q322" t="s">
        <v>34</v>
      </c>
      <c r="R322">
        <v>2093</v>
      </c>
      <c r="S322">
        <v>1528</v>
      </c>
      <c r="T322">
        <v>1403</v>
      </c>
    </row>
    <row r="323" spans="15:20" x14ac:dyDescent="0.3">
      <c r="O323">
        <v>322</v>
      </c>
      <c r="P323" t="s">
        <v>68</v>
      </c>
      <c r="Q323" t="s">
        <v>37</v>
      </c>
      <c r="R323">
        <v>1996</v>
      </c>
      <c r="S323">
        <v>1775</v>
      </c>
      <c r="T323">
        <v>1254</v>
      </c>
    </row>
    <row r="324" spans="15:20" x14ac:dyDescent="0.3">
      <c r="O324">
        <v>323</v>
      </c>
      <c r="P324" t="s">
        <v>70</v>
      </c>
      <c r="Q324" t="s">
        <v>34</v>
      </c>
      <c r="R324">
        <v>2201</v>
      </c>
      <c r="S324">
        <v>1420</v>
      </c>
      <c r="T324">
        <v>1403</v>
      </c>
    </row>
    <row r="325" spans="15:20" x14ac:dyDescent="0.3">
      <c r="O325">
        <v>324</v>
      </c>
      <c r="P325" t="s">
        <v>70</v>
      </c>
      <c r="Q325" t="s">
        <v>37</v>
      </c>
      <c r="R325">
        <v>1810</v>
      </c>
      <c r="S325">
        <v>1759</v>
      </c>
      <c r="T325">
        <v>1457</v>
      </c>
    </row>
    <row r="326" spans="15:20" x14ac:dyDescent="0.3">
      <c r="O326">
        <v>325</v>
      </c>
      <c r="P326" t="s">
        <v>72</v>
      </c>
      <c r="Q326" t="s">
        <v>34</v>
      </c>
      <c r="R326">
        <v>1868</v>
      </c>
      <c r="S326">
        <v>1547</v>
      </c>
      <c r="T326">
        <v>1613</v>
      </c>
    </row>
  </sheetData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327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9" width="11.6640625" bestFit="1" customWidth="1"/>
    <col min="10" max="10" width="9.5546875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54</v>
      </c>
      <c r="E2">
        <v>983</v>
      </c>
      <c r="F2">
        <v>401</v>
      </c>
      <c r="H2" t="s">
        <v>35</v>
      </c>
      <c r="I2" s="1">
        <v>0.94588235294117651</v>
      </c>
      <c r="J2" s="1">
        <v>0.93094736842105286</v>
      </c>
      <c r="K2" s="1">
        <f>IFERROR(SUMIFS(S:S,P:P,"*/01/2026")/(SUMIFS(R:R,P:P,"*/01/2026")+SUMIFS(S:S,P:P,"*/01/2026")+SUMIFS(T:T,P:P,"*/01/2026")),"")</f>
        <v>0.53139633286318755</v>
      </c>
      <c r="L2" s="1">
        <f>IFERROR(SUMIFS(R:R,P:P,"*/01/2026")/(SUMIFS(R:R,P:P,"*/01/2026")+SUMIFS(S:S,P:P,"*/01/2026")+SUMIFS(T:T,P:P,"*/01/2026")),"")</f>
        <v>0.15110860366713683</v>
      </c>
      <c r="M2" s="1">
        <f>IFERROR(SUMIFS(T:T,P:P,"*/01/2026")/(SUMIFS(R:R,P:P,"*/01/2026")+SUMIFS(S:S,P:P,"*/01/2026")+SUMIFS(T:T,P:P,"*/01/2026")),"")</f>
        <v>0.3174950634696756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23</v>
      </c>
      <c r="E3">
        <v>1203</v>
      </c>
      <c r="F3">
        <v>212</v>
      </c>
      <c r="H3" t="s">
        <v>38</v>
      </c>
      <c r="I3" s="1">
        <v>0.94588235294117651</v>
      </c>
      <c r="J3" s="1">
        <v>0.93094736842105286</v>
      </c>
      <c r="K3" s="1">
        <f>IFERROR(SUMIFS(S:S,P:P,"*/02/2026")/(SUMIFS(R:R,P:P,"*/02/2026")+SUMIFS(S:S,P:P,"*/02/2026")+SUMIFS(T:T,P:P,"*/02/2026")),"")</f>
        <v>0.43318395670146603</v>
      </c>
      <c r="L3" s="1">
        <f>IFERROR(SUMIFS(R:R,P:P,"*/02/2026")/(SUMIFS(R:R,P:P,"*/02/2026")+SUMIFS(S:S,P:P,"*/02/2026")+SUMIFS(T:T,P:P,"*/02/2026")),"")</f>
        <v>7.8217907816825347E-2</v>
      </c>
      <c r="M3" s="1">
        <f>IFERROR(SUMIFS(T:T,P:P,"*/02/2026")/(SUMIFS(R:R,P:P,"*/02/2026")+SUMIFS(S:S,P:P,"*/02/2026")+SUMIFS(T:T,P:P,"*/02/2026")),"")</f>
        <v>0.48859813548170861</v>
      </c>
      <c r="O3">
        <v>2</v>
      </c>
      <c r="P3" t="s">
        <v>36</v>
      </c>
      <c r="Q3" t="s">
        <v>37</v>
      </c>
      <c r="R3">
        <v>38</v>
      </c>
      <c r="S3">
        <v>99</v>
      </c>
      <c r="T3">
        <v>1301</v>
      </c>
    </row>
    <row r="4" spans="1:20" x14ac:dyDescent="0.3">
      <c r="A4">
        <v>3</v>
      </c>
      <c r="B4" t="s">
        <v>39</v>
      </c>
      <c r="C4" t="s">
        <v>34</v>
      </c>
      <c r="D4">
        <v>64</v>
      </c>
      <c r="E4">
        <v>969</v>
      </c>
      <c r="F4">
        <v>405</v>
      </c>
      <c r="H4" t="s">
        <v>40</v>
      </c>
      <c r="I4" s="1">
        <v>0.94588235294117651</v>
      </c>
      <c r="J4" s="1">
        <v>0.93094736842105286</v>
      </c>
      <c r="K4" s="1">
        <f>IFERROR(SUMIFS(S:S,P:P,"*/03/2026")/(SUMIFS(R:R,P:P,"*/03/2026")+SUMIFS(S:S,P:P,"*/03/2026")+SUMIFS(T:T,P:P,"*/03/2026")),"")</f>
        <v>0.60950188128264171</v>
      </c>
      <c r="L4" s="1">
        <f>IFERROR(SUMIFS(R:R,P:P,"*/03/2026")/(SUMIFS(R:R,P:P,"*/03/2026")+SUMIFS(S:S,P:P,"*/03/2026")+SUMIFS(T:T,P:P,"*/03/2026")),"")</f>
        <v>7.4453866457011283E-2</v>
      </c>
      <c r="M4" s="1">
        <f>IFERROR(SUMIFS(T:T,P:P,"*/03/2026")/(SUMIFS(R:R,P:P,"*/03/2026")+SUMIFS(S:S,P:P,"*/03/2026")+SUMIFS(T:T,P:P,"*/03/2026")),"")</f>
        <v>0.31604425226034705</v>
      </c>
      <c r="O4">
        <v>3</v>
      </c>
      <c r="P4" t="s">
        <v>41</v>
      </c>
      <c r="Q4" t="s">
        <v>34</v>
      </c>
      <c r="R4">
        <v>314</v>
      </c>
      <c r="S4">
        <v>1125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33</v>
      </c>
      <c r="E5">
        <v>1166</v>
      </c>
      <c r="F5">
        <v>237</v>
      </c>
      <c r="H5" t="s">
        <v>42</v>
      </c>
      <c r="I5" s="1">
        <v>0.94588235294117651</v>
      </c>
      <c r="J5" s="1">
        <v>0.93094736842105286</v>
      </c>
      <c r="K5" s="1">
        <f>IFERROR(SUMIFS(S:S,P:P,"*/04/2026")/(SUMIFS(R:R,P:P,"*/04/2026")+SUMIFS(S:S,P:P,"*/04/2026")+SUMIFS(T:T,P:P,"*/04/2026")),"")</f>
        <v>0.56286363320275379</v>
      </c>
      <c r="L5" s="1">
        <f>IFERROR(SUMIFS(R:R,P:P,"*/04/2026")/(SUMIFS(R:R,P:P,"*/04/2026")+SUMIFS(S:S,P:P,"*/04/2026")+SUMIFS(T:T,P:P,"*/04/2026")),"")</f>
        <v>6.841519668065181E-2</v>
      </c>
      <c r="M5" s="1">
        <f>IFERROR(SUMIFS(T:T,P:P,"*/04/2026")/(SUMIFS(R:R,P:P,"*/04/2026")+SUMIFS(S:S,P:P,"*/04/2026")+SUMIFS(T:T,P:P,"*/04/2026")),"")</f>
        <v>0.36872117011659444</v>
      </c>
      <c r="O5">
        <v>4</v>
      </c>
      <c r="P5" t="s">
        <v>41</v>
      </c>
      <c r="Q5" t="s">
        <v>37</v>
      </c>
      <c r="R5">
        <v>146</v>
      </c>
      <c r="S5">
        <v>713</v>
      </c>
      <c r="T5">
        <v>580</v>
      </c>
    </row>
    <row r="6" spans="1:20" x14ac:dyDescent="0.3">
      <c r="A6">
        <v>5</v>
      </c>
      <c r="B6" t="s">
        <v>43</v>
      </c>
      <c r="C6" t="s">
        <v>34</v>
      </c>
      <c r="D6">
        <v>54</v>
      </c>
      <c r="E6">
        <v>974</v>
      </c>
      <c r="F6">
        <v>410</v>
      </c>
      <c r="H6" t="s">
        <v>44</v>
      </c>
      <c r="I6" s="1">
        <v>0.94588235294117651</v>
      </c>
      <c r="J6" s="1">
        <v>0.93094736842105286</v>
      </c>
      <c r="K6" s="1">
        <f>IFERROR(SUMIFS(S:S,P:P,"*/05/2026")/(SUMIFS(R:R,P:P,"*/05/2026")+SUMIFS(S:S,P:P,"*/05/2026")+SUMIFS(T:T,P:P,"*/05/2026")),"")</f>
        <v>0.53643075127905937</v>
      </c>
      <c r="L6" s="1">
        <f>IFERROR(SUMIFS(R:R,P:P,"*/05/2026")/(SUMIFS(R:R,P:P,"*/05/2026")+SUMIFS(S:S,P:P,"*/05/2026")+SUMIFS(T:T,P:P,"*/05/2026")),"")</f>
        <v>7.4869850103222335E-2</v>
      </c>
      <c r="M6" s="1">
        <f>IFERROR(SUMIFS(T:T,P:P,"*/05/2026")/(SUMIFS(R:R,P:P,"*/05/2026")+SUMIFS(S:S,P:P,"*/05/2026")+SUMIFS(T:T,P:P,"*/05/2026")),"")</f>
        <v>0.38869939861771835</v>
      </c>
      <c r="O6">
        <v>5</v>
      </c>
      <c r="P6" t="s">
        <v>45</v>
      </c>
      <c r="Q6" t="s">
        <v>37</v>
      </c>
      <c r="R6">
        <v>365</v>
      </c>
      <c r="S6">
        <v>1655</v>
      </c>
      <c r="T6">
        <v>319</v>
      </c>
    </row>
    <row r="7" spans="1:20" x14ac:dyDescent="0.3">
      <c r="A7">
        <v>6</v>
      </c>
      <c r="B7" t="s">
        <v>43</v>
      </c>
      <c r="C7" t="s">
        <v>37</v>
      </c>
      <c r="D7">
        <v>49</v>
      </c>
      <c r="E7">
        <v>1135</v>
      </c>
      <c r="F7">
        <v>254</v>
      </c>
      <c r="H7" t="s">
        <v>46</v>
      </c>
      <c r="I7" s="1">
        <v>0.94588235294117651</v>
      </c>
      <c r="J7" s="1">
        <v>0.93094736842105286</v>
      </c>
      <c r="K7" s="1">
        <f>IFERROR(SUMIFS(S:S,P:P,"*/06/2026")/(SUMIFS(R:R,P:P,"*/06/2026")+SUMIFS(S:S,P:P,"*/06/2026")+SUMIFS(T:T,P:P,"*/06/2026")),"")</f>
        <v>0.68356332072112169</v>
      </c>
      <c r="L7" s="1">
        <f>IFERROR(SUMIFS(R:R,P:P,"*/06/2026")/(SUMIFS(R:R,P:P,"*/06/2026")+SUMIFS(S:S,P:P,"*/06/2026")+SUMIFS(T:T,P:P,"*/06/2026")),"")</f>
        <v>5.1997551747162252E-2</v>
      </c>
      <c r="M7" s="1">
        <f>IFERROR(SUMIFS(T:T,P:P,"*/06/2026")/(SUMIFS(R:R,P:P,"*/06/2026")+SUMIFS(S:S,P:P,"*/06/2026")+SUMIFS(T:T,P:P,"*/06/2026")),"")</f>
        <v>0.264439127531716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56</v>
      </c>
      <c r="E8">
        <v>989</v>
      </c>
      <c r="F8">
        <v>394</v>
      </c>
      <c r="H8" t="s">
        <v>49</v>
      </c>
      <c r="I8" s="1">
        <v>0.94588235294117651</v>
      </c>
      <c r="J8" s="1">
        <v>0.93094736842105286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64</v>
      </c>
      <c r="E9">
        <v>1125</v>
      </c>
      <c r="F9">
        <v>248</v>
      </c>
      <c r="H9" t="s">
        <v>50</v>
      </c>
      <c r="I9" s="1">
        <v>0.94588235294117651</v>
      </c>
      <c r="J9" s="1">
        <v>0.93094736842105286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257</v>
      </c>
      <c r="S9">
        <v>797</v>
      </c>
      <c r="T9">
        <v>383</v>
      </c>
    </row>
    <row r="10" spans="1:20" x14ac:dyDescent="0.3">
      <c r="A10">
        <v>9</v>
      </c>
      <c r="B10" t="s">
        <v>52</v>
      </c>
      <c r="C10" t="s">
        <v>34</v>
      </c>
      <c r="D10">
        <v>81</v>
      </c>
      <c r="E10">
        <v>962</v>
      </c>
      <c r="F10">
        <v>394</v>
      </c>
      <c r="H10" t="s">
        <v>53</v>
      </c>
      <c r="I10" s="1">
        <v>0.94588235294117651</v>
      </c>
      <c r="J10" s="1">
        <v>0.93094736842105286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177</v>
      </c>
      <c r="S10">
        <v>943</v>
      </c>
      <c r="T10">
        <v>302</v>
      </c>
    </row>
    <row r="11" spans="1:20" x14ac:dyDescent="0.3">
      <c r="A11">
        <v>10</v>
      </c>
      <c r="B11" t="s">
        <v>52</v>
      </c>
      <c r="C11" t="s">
        <v>37</v>
      </c>
      <c r="D11">
        <v>98</v>
      </c>
      <c r="E11">
        <v>1082</v>
      </c>
      <c r="F11">
        <v>258</v>
      </c>
      <c r="H11" t="s">
        <v>54</v>
      </c>
      <c r="I11" s="1">
        <v>0.94588235294117651</v>
      </c>
      <c r="J11" s="1">
        <v>0.93094736842105286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180</v>
      </c>
      <c r="S11">
        <v>850</v>
      </c>
      <c r="T11">
        <v>408</v>
      </c>
    </row>
    <row r="12" spans="1:20" x14ac:dyDescent="0.3">
      <c r="A12">
        <v>11</v>
      </c>
      <c r="B12" t="s">
        <v>56</v>
      </c>
      <c r="C12" t="s">
        <v>34</v>
      </c>
      <c r="D12">
        <v>111</v>
      </c>
      <c r="E12">
        <v>870</v>
      </c>
      <c r="F12">
        <v>456</v>
      </c>
      <c r="H12" t="s">
        <v>57</v>
      </c>
      <c r="I12" s="1">
        <v>0.94588235294117651</v>
      </c>
      <c r="J12" s="1">
        <v>0.93094736842105286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173</v>
      </c>
      <c r="S12">
        <v>1096</v>
      </c>
      <c r="T12">
        <v>170</v>
      </c>
    </row>
    <row r="13" spans="1:20" x14ac:dyDescent="0.3">
      <c r="A13">
        <v>12</v>
      </c>
      <c r="B13" t="s">
        <v>56</v>
      </c>
      <c r="C13" t="s">
        <v>37</v>
      </c>
      <c r="D13">
        <v>60</v>
      </c>
      <c r="E13">
        <v>948</v>
      </c>
      <c r="F13">
        <v>429</v>
      </c>
      <c r="H13" t="s">
        <v>58</v>
      </c>
      <c r="I13" s="1">
        <v>0.94588235294117651</v>
      </c>
      <c r="J13" s="1">
        <v>0.93094736842105286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107</v>
      </c>
      <c r="S13">
        <v>167</v>
      </c>
      <c r="T13">
        <v>1163</v>
      </c>
    </row>
    <row r="14" spans="1:20" x14ac:dyDescent="0.3">
      <c r="A14">
        <v>13</v>
      </c>
      <c r="B14" t="s">
        <v>60</v>
      </c>
      <c r="C14" t="s">
        <v>34</v>
      </c>
      <c r="D14">
        <v>145</v>
      </c>
      <c r="E14">
        <v>814</v>
      </c>
      <c r="F14">
        <v>477</v>
      </c>
      <c r="H14" t="str">
        <f>IF(B2="","",TEXT(B2,"dd/mm")&amp; "-" &amp;IF(UPPER(TRIM(C2))="CN",1,IF(UPPER(TRIM(C2))="CD",2,"")))</f>
        <v>01/06-1</v>
      </c>
      <c r="I14" s="1">
        <v>0.94588235294117651</v>
      </c>
      <c r="J14" s="1">
        <v>0.93094736842105286</v>
      </c>
      <c r="K14" s="1">
        <f t="shared" ref="K14:K45" si="0">IFERROR($E2/SUM($D2:$F2),"")</f>
        <v>0.68358831710709322</v>
      </c>
      <c r="L14" s="1">
        <f t="shared" ref="L14:L45" si="1">IFERROR($D2/SUM($D2:$F2),"")</f>
        <v>3.7552155771905425E-2</v>
      </c>
      <c r="M14" s="1">
        <f t="shared" ref="M14:M45" si="2">IFERROR($F2/SUM($D2:$F2),"")</f>
        <v>0.27885952712100137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1440</v>
      </c>
      <c r="H15" t="str">
        <f t="shared" ref="H15:H46" si="3">IF(B3="","",TEXT(B3,"dd/mm") &amp; "-" &amp; IF(UPPER(TRIM(C3))="CN",1,IF(UPPER(TRIM(C3))="CD",2,"")))</f>
        <v>01/06-2</v>
      </c>
      <c r="I15" s="1">
        <v>0.94588235294117651</v>
      </c>
      <c r="J15" s="1">
        <v>0.93094736842105286</v>
      </c>
      <c r="K15" s="1">
        <f t="shared" si="0"/>
        <v>0.83657858136300423</v>
      </c>
      <c r="L15" s="1">
        <f t="shared" si="1"/>
        <v>1.5994436717663423E-2</v>
      </c>
      <c r="M15" s="1">
        <f t="shared" si="2"/>
        <v>0.1474269819193324</v>
      </c>
      <c r="O15">
        <v>14</v>
      </c>
      <c r="P15" t="s">
        <v>61</v>
      </c>
      <c r="Q15" t="s">
        <v>34</v>
      </c>
      <c r="R15">
        <v>159</v>
      </c>
      <c r="S15">
        <v>846</v>
      </c>
      <c r="T15">
        <v>433</v>
      </c>
    </row>
    <row r="16" spans="1:20" x14ac:dyDescent="0.3">
      <c r="A16">
        <v>15</v>
      </c>
      <c r="B16" t="s">
        <v>62</v>
      </c>
      <c r="C16" t="s">
        <v>34</v>
      </c>
      <c r="D16">
        <v>64</v>
      </c>
      <c r="E16">
        <v>978</v>
      </c>
      <c r="F16">
        <v>396</v>
      </c>
      <c r="H16" t="str">
        <f t="shared" si="3"/>
        <v>02/06-1</v>
      </c>
      <c r="I16" s="1">
        <v>0.94588235294117651</v>
      </c>
      <c r="J16" s="1">
        <v>0.93094736842105286</v>
      </c>
      <c r="K16" s="1">
        <f t="shared" si="0"/>
        <v>0.67385257301808066</v>
      </c>
      <c r="L16" s="1">
        <f t="shared" si="1"/>
        <v>4.4506258692628649E-2</v>
      </c>
      <c r="M16" s="1">
        <f t="shared" si="2"/>
        <v>0.2816411682892907</v>
      </c>
      <c r="O16">
        <v>15</v>
      </c>
      <c r="P16" t="s">
        <v>61</v>
      </c>
      <c r="Q16" t="s">
        <v>37</v>
      </c>
      <c r="R16">
        <v>150</v>
      </c>
      <c r="S16">
        <v>1141</v>
      </c>
      <c r="T16">
        <v>147</v>
      </c>
    </row>
    <row r="17" spans="1:20" x14ac:dyDescent="0.3">
      <c r="A17">
        <v>16</v>
      </c>
      <c r="B17" t="s">
        <v>62</v>
      </c>
      <c r="C17" t="s">
        <v>37</v>
      </c>
      <c r="D17">
        <v>90</v>
      </c>
      <c r="E17">
        <v>1035</v>
      </c>
      <c r="F17">
        <v>312</v>
      </c>
      <c r="H17" t="str">
        <f t="shared" si="3"/>
        <v>02/06-2</v>
      </c>
      <c r="I17" s="1">
        <v>0.94588235294117651</v>
      </c>
      <c r="J17" s="1">
        <v>0.93094736842105286</v>
      </c>
      <c r="K17" s="1">
        <f t="shared" si="0"/>
        <v>0.81197771587743728</v>
      </c>
      <c r="L17" s="1">
        <f t="shared" si="1"/>
        <v>2.298050139275766E-2</v>
      </c>
      <c r="M17" s="1">
        <f t="shared" si="2"/>
        <v>0.16504178272980502</v>
      </c>
      <c r="O17">
        <v>16</v>
      </c>
      <c r="P17" t="s">
        <v>63</v>
      </c>
      <c r="Q17" t="s">
        <v>34</v>
      </c>
      <c r="R17">
        <v>207</v>
      </c>
      <c r="S17">
        <v>1017</v>
      </c>
      <c r="T17">
        <v>213</v>
      </c>
    </row>
    <row r="18" spans="1:20" x14ac:dyDescent="0.3">
      <c r="A18">
        <v>17</v>
      </c>
      <c r="B18" t="s">
        <v>64</v>
      </c>
      <c r="C18" t="s">
        <v>34</v>
      </c>
      <c r="D18">
        <v>65</v>
      </c>
      <c r="E18">
        <v>977</v>
      </c>
      <c r="F18">
        <v>396</v>
      </c>
      <c r="H18" t="str">
        <f t="shared" si="3"/>
        <v>03/06-1</v>
      </c>
      <c r="I18" s="1">
        <v>0.94588235294117651</v>
      </c>
      <c r="J18" s="1">
        <v>0.93094736842105286</v>
      </c>
      <c r="K18" s="1">
        <f t="shared" si="0"/>
        <v>0.67732962447844225</v>
      </c>
      <c r="L18" s="1">
        <f t="shared" si="1"/>
        <v>3.7552155771905425E-2</v>
      </c>
      <c r="M18" s="1">
        <f t="shared" si="2"/>
        <v>0.28511821974965229</v>
      </c>
      <c r="O18">
        <v>17</v>
      </c>
      <c r="P18" t="s">
        <v>63</v>
      </c>
      <c r="Q18" t="s">
        <v>37</v>
      </c>
      <c r="R18">
        <v>158</v>
      </c>
      <c r="S18">
        <v>1192</v>
      </c>
      <c r="T18">
        <v>89</v>
      </c>
    </row>
    <row r="19" spans="1:20" x14ac:dyDescent="0.3">
      <c r="A19">
        <v>18</v>
      </c>
      <c r="B19" t="s">
        <v>64</v>
      </c>
      <c r="C19" t="s">
        <v>37</v>
      </c>
      <c r="D19">
        <v>54</v>
      </c>
      <c r="E19">
        <v>1067</v>
      </c>
      <c r="F19">
        <v>317</v>
      </c>
      <c r="H19" t="str">
        <f t="shared" si="3"/>
        <v>03/06-2</v>
      </c>
      <c r="I19" s="1">
        <v>0.94588235294117651</v>
      </c>
      <c r="J19" s="1">
        <v>0.93094736842105286</v>
      </c>
      <c r="K19" s="1">
        <f t="shared" si="0"/>
        <v>0.78929068150208626</v>
      </c>
      <c r="L19" s="1">
        <f t="shared" si="1"/>
        <v>3.4075104311543813E-2</v>
      </c>
      <c r="M19" s="1">
        <f t="shared" si="2"/>
        <v>0.17663421418636996</v>
      </c>
      <c r="O19">
        <v>18</v>
      </c>
      <c r="P19" t="s">
        <v>65</v>
      </c>
      <c r="Q19" t="s">
        <v>34</v>
      </c>
      <c r="R19">
        <v>185</v>
      </c>
      <c r="S19">
        <v>825</v>
      </c>
      <c r="T19">
        <v>427</v>
      </c>
    </row>
    <row r="20" spans="1:20" x14ac:dyDescent="0.3">
      <c r="A20">
        <v>19</v>
      </c>
      <c r="B20" t="s">
        <v>66</v>
      </c>
      <c r="C20" t="s">
        <v>34</v>
      </c>
      <c r="D20">
        <v>109</v>
      </c>
      <c r="E20">
        <v>947</v>
      </c>
      <c r="F20">
        <v>382</v>
      </c>
      <c r="H20" t="str">
        <f t="shared" si="3"/>
        <v>04/06-1</v>
      </c>
      <c r="I20" s="1">
        <v>0.94588235294117651</v>
      </c>
      <c r="J20" s="1">
        <v>0.93094736842105286</v>
      </c>
      <c r="K20" s="1">
        <f t="shared" si="0"/>
        <v>0.68728283530229328</v>
      </c>
      <c r="L20" s="1">
        <f t="shared" si="1"/>
        <v>3.8915913829047952E-2</v>
      </c>
      <c r="M20" s="1">
        <f t="shared" si="2"/>
        <v>0.27380125086865881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143</v>
      </c>
      <c r="E21">
        <v>1061</v>
      </c>
      <c r="F21">
        <v>233</v>
      </c>
      <c r="H21" t="str">
        <f t="shared" si="3"/>
        <v>04/06-2</v>
      </c>
      <c r="I21" s="1">
        <v>0.94588235294117651</v>
      </c>
      <c r="J21" s="1">
        <v>0.93094736842105286</v>
      </c>
      <c r="K21" s="1">
        <f t="shared" si="0"/>
        <v>0.78288100208768263</v>
      </c>
      <c r="L21" s="1">
        <f t="shared" si="1"/>
        <v>4.4537230340988172E-2</v>
      </c>
      <c r="M21" s="1">
        <f t="shared" si="2"/>
        <v>0.17258176757132915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87</v>
      </c>
      <c r="E22">
        <v>962</v>
      </c>
      <c r="F22">
        <v>388</v>
      </c>
      <c r="H22" t="str">
        <f t="shared" si="3"/>
        <v>05/06-1</v>
      </c>
      <c r="I22" s="1">
        <v>0.94588235294117651</v>
      </c>
      <c r="J22" s="1">
        <v>0.93094736842105286</v>
      </c>
      <c r="K22" s="1">
        <f t="shared" si="0"/>
        <v>0.66945024356297844</v>
      </c>
      <c r="L22" s="1">
        <f t="shared" si="1"/>
        <v>5.6367432150313153E-2</v>
      </c>
      <c r="M22" s="1">
        <f t="shared" si="2"/>
        <v>0.27418232428670841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A23">
        <v>22</v>
      </c>
      <c r="B23" t="s">
        <v>68</v>
      </c>
      <c r="C23" t="s">
        <v>37</v>
      </c>
      <c r="D23">
        <v>51</v>
      </c>
      <c r="E23">
        <v>1283</v>
      </c>
      <c r="F23">
        <v>104</v>
      </c>
      <c r="H23" t="str">
        <f t="shared" si="3"/>
        <v>05/06-2</v>
      </c>
      <c r="I23" s="1">
        <v>0.94588235294117651</v>
      </c>
      <c r="J23" s="1">
        <v>0.93094736842105286</v>
      </c>
      <c r="K23" s="1">
        <f t="shared" si="0"/>
        <v>0.75243393602225317</v>
      </c>
      <c r="L23" s="1">
        <f t="shared" si="1"/>
        <v>6.8150208623087627E-2</v>
      </c>
      <c r="M23" s="1">
        <f t="shared" si="2"/>
        <v>0.17941585535465926</v>
      </c>
      <c r="O23">
        <v>22</v>
      </c>
      <c r="P23" t="s">
        <v>69</v>
      </c>
      <c r="Q23" t="s">
        <v>34</v>
      </c>
      <c r="R23">
        <v>168</v>
      </c>
      <c r="S23">
        <v>852</v>
      </c>
      <c r="T23">
        <v>417</v>
      </c>
    </row>
    <row r="24" spans="1:20" x14ac:dyDescent="0.3">
      <c r="A24">
        <v>23</v>
      </c>
      <c r="B24" t="s">
        <v>70</v>
      </c>
      <c r="C24" t="s">
        <v>34</v>
      </c>
      <c r="D24">
        <v>118</v>
      </c>
      <c r="E24">
        <v>1124</v>
      </c>
      <c r="F24">
        <v>197</v>
      </c>
      <c r="H24" t="str">
        <f t="shared" si="3"/>
        <v>06/06-1</v>
      </c>
      <c r="I24" s="1">
        <v>0.94588235294117651</v>
      </c>
      <c r="J24" s="1">
        <v>0.93094736842105286</v>
      </c>
      <c r="K24" s="1">
        <f t="shared" si="0"/>
        <v>0.60542797494780798</v>
      </c>
      <c r="L24" s="1">
        <f t="shared" si="1"/>
        <v>7.724425887265135E-2</v>
      </c>
      <c r="M24" s="1">
        <f t="shared" si="2"/>
        <v>0.31732776617954073</v>
      </c>
      <c r="O24">
        <v>23</v>
      </c>
      <c r="P24" t="s">
        <v>69</v>
      </c>
      <c r="Q24" t="s">
        <v>37</v>
      </c>
      <c r="R24">
        <v>325</v>
      </c>
      <c r="S24">
        <v>893</v>
      </c>
      <c r="T24">
        <v>220</v>
      </c>
    </row>
    <row r="25" spans="1:20" x14ac:dyDescent="0.3">
      <c r="A25">
        <v>24</v>
      </c>
      <c r="B25" t="s">
        <v>70</v>
      </c>
      <c r="C25" t="s">
        <v>37</v>
      </c>
      <c r="D25">
        <v>84</v>
      </c>
      <c r="E25">
        <v>1039</v>
      </c>
      <c r="F25">
        <v>315</v>
      </c>
      <c r="H25" t="str">
        <f t="shared" si="3"/>
        <v>06/06-2</v>
      </c>
      <c r="I25" s="1">
        <v>0.94588235294117651</v>
      </c>
      <c r="J25" s="1">
        <v>0.93094736842105286</v>
      </c>
      <c r="K25" s="1">
        <f t="shared" si="0"/>
        <v>0.65970772442588721</v>
      </c>
      <c r="L25" s="1">
        <f t="shared" si="1"/>
        <v>4.1753653444676408E-2</v>
      </c>
      <c r="M25" s="1">
        <f t="shared" si="2"/>
        <v>0.29853862212943633</v>
      </c>
      <c r="O25">
        <v>24</v>
      </c>
      <c r="P25" t="s">
        <v>71</v>
      </c>
      <c r="Q25" t="s">
        <v>34</v>
      </c>
      <c r="R25">
        <v>158</v>
      </c>
      <c r="S25">
        <v>859</v>
      </c>
      <c r="T25">
        <v>419</v>
      </c>
    </row>
    <row r="26" spans="1:20" x14ac:dyDescent="0.3">
      <c r="A26">
        <v>25</v>
      </c>
      <c r="B26" t="s">
        <v>72</v>
      </c>
      <c r="C26" t="s">
        <v>34</v>
      </c>
      <c r="D26">
        <v>112</v>
      </c>
      <c r="E26">
        <v>877</v>
      </c>
      <c r="F26">
        <v>450</v>
      </c>
      <c r="H26" t="str">
        <f t="shared" si="3"/>
        <v>07/06-1</v>
      </c>
      <c r="I26" s="1">
        <v>0.94588235294117651</v>
      </c>
      <c r="J26" s="1">
        <v>0.93094736842105286</v>
      </c>
      <c r="K26" s="1">
        <f t="shared" si="0"/>
        <v>0.56685236768802227</v>
      </c>
      <c r="L26" s="1">
        <f t="shared" si="1"/>
        <v>0.10097493036211699</v>
      </c>
      <c r="M26" s="1">
        <f t="shared" si="2"/>
        <v>0.3321727019498607</v>
      </c>
      <c r="O26">
        <v>25</v>
      </c>
      <c r="P26" t="s">
        <v>71</v>
      </c>
      <c r="Q26" t="s">
        <v>37</v>
      </c>
      <c r="R26">
        <v>206</v>
      </c>
      <c r="S26">
        <v>1081</v>
      </c>
      <c r="T26">
        <v>150</v>
      </c>
    </row>
    <row r="27" spans="1:20" x14ac:dyDescent="0.3">
      <c r="H27" t="str">
        <f t="shared" si="3"/>
        <v>07/06-2</v>
      </c>
      <c r="I27" s="1">
        <v>0.94588235294117651</v>
      </c>
      <c r="J27" s="1">
        <v>0.93094736842105286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161</v>
      </c>
      <c r="S27">
        <v>906</v>
      </c>
      <c r="T27">
        <v>371</v>
      </c>
    </row>
    <row r="28" spans="1:20" x14ac:dyDescent="0.3">
      <c r="H28" t="str">
        <f t="shared" si="3"/>
        <v>08/06-1</v>
      </c>
      <c r="I28" s="1">
        <v>0.94588235294117651</v>
      </c>
      <c r="J28" s="1">
        <v>0.93094736842105286</v>
      </c>
      <c r="K28" s="1">
        <f t="shared" si="0"/>
        <v>0.68011126564673152</v>
      </c>
      <c r="L28" s="1">
        <f t="shared" si="1"/>
        <v>4.4506258692628649E-2</v>
      </c>
      <c r="M28" s="1">
        <f t="shared" si="2"/>
        <v>0.27538247566063978</v>
      </c>
      <c r="O28">
        <v>27</v>
      </c>
      <c r="P28" t="s">
        <v>73</v>
      </c>
      <c r="Q28" t="s">
        <v>37</v>
      </c>
      <c r="R28">
        <v>248</v>
      </c>
      <c r="S28">
        <v>1083</v>
      </c>
      <c r="T28">
        <v>107</v>
      </c>
    </row>
    <row r="29" spans="1:20" x14ac:dyDescent="0.3">
      <c r="H29" t="str">
        <f t="shared" si="3"/>
        <v>08/06-2</v>
      </c>
      <c r="I29" s="1">
        <v>0.94588235294117651</v>
      </c>
      <c r="J29" s="1">
        <v>0.93094736842105286</v>
      </c>
      <c r="K29" s="1">
        <f t="shared" si="0"/>
        <v>0.72025052192066807</v>
      </c>
      <c r="L29" s="1">
        <f t="shared" si="1"/>
        <v>6.2630480167014613E-2</v>
      </c>
      <c r="M29" s="1">
        <f t="shared" si="2"/>
        <v>0.21711899791231734</v>
      </c>
      <c r="O29">
        <v>28</v>
      </c>
      <c r="P29" t="s">
        <v>74</v>
      </c>
      <c r="Q29" t="s">
        <v>34</v>
      </c>
      <c r="R29">
        <v>224</v>
      </c>
      <c r="S29">
        <v>799</v>
      </c>
      <c r="T29">
        <v>415</v>
      </c>
    </row>
    <row r="30" spans="1:20" x14ac:dyDescent="0.3">
      <c r="H30" t="str">
        <f t="shared" si="3"/>
        <v>09/06-1</v>
      </c>
      <c r="I30" s="1">
        <v>0.94588235294117651</v>
      </c>
      <c r="J30" s="1">
        <v>0.93094736842105286</v>
      </c>
      <c r="K30" s="1">
        <f t="shared" si="0"/>
        <v>0.6794158553546592</v>
      </c>
      <c r="L30" s="1">
        <f t="shared" si="1"/>
        <v>4.5201668984700974E-2</v>
      </c>
      <c r="M30" s="1">
        <f t="shared" si="2"/>
        <v>0.27538247566063978</v>
      </c>
      <c r="O30">
        <v>29</v>
      </c>
      <c r="P30" t="s">
        <v>74</v>
      </c>
      <c r="Q30" t="s">
        <v>37</v>
      </c>
      <c r="R30">
        <v>213</v>
      </c>
      <c r="S30">
        <v>1226</v>
      </c>
      <c r="T30">
        <v>0</v>
      </c>
    </row>
    <row r="31" spans="1:20" x14ac:dyDescent="0.3">
      <c r="H31" t="str">
        <f t="shared" si="3"/>
        <v>09/06-2</v>
      </c>
      <c r="I31" s="1">
        <v>0.94588235294117651</v>
      </c>
      <c r="J31" s="1">
        <v>0.93094736842105286</v>
      </c>
      <c r="K31" s="1">
        <f t="shared" si="0"/>
        <v>0.74200278164116829</v>
      </c>
      <c r="L31" s="1">
        <f t="shared" si="1"/>
        <v>3.7552155771905425E-2</v>
      </c>
      <c r="M31" s="1">
        <f t="shared" si="2"/>
        <v>0.22044506258692628</v>
      </c>
      <c r="O31">
        <v>30</v>
      </c>
      <c r="P31" t="s">
        <v>75</v>
      </c>
      <c r="Q31" t="s">
        <v>34</v>
      </c>
      <c r="R31">
        <v>144</v>
      </c>
      <c r="S31">
        <v>1082</v>
      </c>
      <c r="T31">
        <v>213</v>
      </c>
    </row>
    <row r="32" spans="1:20" x14ac:dyDescent="0.3">
      <c r="H32" t="str">
        <f t="shared" si="3"/>
        <v>10/06-1</v>
      </c>
      <c r="I32" s="1">
        <v>0.94588235294117651</v>
      </c>
      <c r="J32" s="1">
        <v>0.93094736842105286</v>
      </c>
      <c r="K32" s="1">
        <f t="shared" si="0"/>
        <v>0.65855354659248955</v>
      </c>
      <c r="L32" s="1">
        <f t="shared" si="1"/>
        <v>7.5799721835883169E-2</v>
      </c>
      <c r="M32" s="1">
        <f t="shared" si="2"/>
        <v>0.26564673157162727</v>
      </c>
      <c r="O32">
        <v>31</v>
      </c>
      <c r="P32" t="s">
        <v>75</v>
      </c>
      <c r="Q32" t="s">
        <v>37</v>
      </c>
      <c r="R32">
        <v>178</v>
      </c>
      <c r="S32">
        <v>1203</v>
      </c>
      <c r="T32">
        <v>57</v>
      </c>
    </row>
    <row r="33" spans="8:20" x14ac:dyDescent="0.3">
      <c r="H33" t="str">
        <f t="shared" si="3"/>
        <v>10/06-2</v>
      </c>
      <c r="I33" s="1">
        <v>0.94588235294117651</v>
      </c>
      <c r="J33" s="1">
        <v>0.93094736842105286</v>
      </c>
      <c r="K33" s="1">
        <f t="shared" si="0"/>
        <v>0.73834377174669452</v>
      </c>
      <c r="L33" s="1">
        <f t="shared" si="1"/>
        <v>9.9512874043145447E-2</v>
      </c>
      <c r="M33" s="1">
        <f t="shared" si="2"/>
        <v>0.16214335421016005</v>
      </c>
      <c r="O33">
        <v>32</v>
      </c>
      <c r="P33" t="s">
        <v>76</v>
      </c>
      <c r="Q33" t="s">
        <v>34</v>
      </c>
      <c r="R33">
        <v>360</v>
      </c>
      <c r="S33">
        <v>726</v>
      </c>
      <c r="T33">
        <v>351</v>
      </c>
    </row>
    <row r="34" spans="8:20" x14ac:dyDescent="0.3">
      <c r="H34" t="str">
        <f t="shared" si="3"/>
        <v>11/06-1</v>
      </c>
      <c r="I34" s="1">
        <v>0.94588235294117651</v>
      </c>
      <c r="J34" s="1">
        <v>0.93094736842105286</v>
      </c>
      <c r="K34" s="1">
        <f t="shared" si="0"/>
        <v>0.66945024356297844</v>
      </c>
      <c r="L34" s="1">
        <f t="shared" si="1"/>
        <v>6.0542797494780795E-2</v>
      </c>
      <c r="M34" s="1">
        <f t="shared" si="2"/>
        <v>0.2700069589422408</v>
      </c>
      <c r="O34">
        <v>33</v>
      </c>
      <c r="P34" t="s">
        <v>76</v>
      </c>
      <c r="Q34" t="s">
        <v>37</v>
      </c>
      <c r="R34">
        <v>110</v>
      </c>
      <c r="S34">
        <v>844</v>
      </c>
      <c r="T34">
        <v>484</v>
      </c>
    </row>
    <row r="35" spans="8:20" x14ac:dyDescent="0.3">
      <c r="H35" t="str">
        <f t="shared" si="3"/>
        <v>11/06-2</v>
      </c>
      <c r="I35" s="1">
        <v>0.94588235294117651</v>
      </c>
      <c r="J35" s="1">
        <v>0.93094736842105286</v>
      </c>
      <c r="K35" s="1">
        <f t="shared" si="0"/>
        <v>0.89221140472879001</v>
      </c>
      <c r="L35" s="1">
        <f t="shared" si="1"/>
        <v>3.5465924895688457E-2</v>
      </c>
      <c r="M35" s="1">
        <f t="shared" si="2"/>
        <v>7.2322670375521564E-2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1440</v>
      </c>
    </row>
    <row r="36" spans="8:20" x14ac:dyDescent="0.3">
      <c r="H36" t="str">
        <f t="shared" si="3"/>
        <v>12/06-1</v>
      </c>
      <c r="I36" s="1">
        <v>0.94588235294117651</v>
      </c>
      <c r="J36" s="1">
        <v>0.93094736842105286</v>
      </c>
      <c r="K36" s="1">
        <f t="shared" si="0"/>
        <v>0.7810979847116053</v>
      </c>
      <c r="L36" s="1">
        <f t="shared" si="1"/>
        <v>8.2001389854065326E-2</v>
      </c>
      <c r="M36" s="1">
        <f t="shared" si="2"/>
        <v>0.1369006254343294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1440</v>
      </c>
    </row>
    <row r="37" spans="8:20" x14ac:dyDescent="0.3">
      <c r="H37" t="str">
        <f t="shared" si="3"/>
        <v>12/06-2</v>
      </c>
      <c r="I37" s="1">
        <v>0.94588235294117651</v>
      </c>
      <c r="J37" s="1">
        <v>0.93094736842105286</v>
      </c>
      <c r="K37" s="1">
        <f t="shared" si="0"/>
        <v>0.72253129346314326</v>
      </c>
      <c r="L37" s="1">
        <f t="shared" si="1"/>
        <v>5.8414464534075103E-2</v>
      </c>
      <c r="M37" s="1">
        <f t="shared" si="2"/>
        <v>0.21905424200278165</v>
      </c>
      <c r="O37">
        <v>36</v>
      </c>
      <c r="P37" t="s">
        <v>78</v>
      </c>
      <c r="Q37" t="s">
        <v>34</v>
      </c>
      <c r="R37">
        <v>163</v>
      </c>
      <c r="S37">
        <v>868</v>
      </c>
      <c r="T37">
        <v>408</v>
      </c>
    </row>
    <row r="38" spans="8:20" x14ac:dyDescent="0.3">
      <c r="H38" t="str">
        <f t="shared" si="3"/>
        <v>13/06-1</v>
      </c>
      <c r="I38" s="1">
        <v>0.94588235294117651</v>
      </c>
      <c r="J38" s="1">
        <v>0.93094736842105286</v>
      </c>
      <c r="K38" s="1">
        <f t="shared" si="0"/>
        <v>0.60945100764419735</v>
      </c>
      <c r="L38" s="1">
        <f t="shared" si="1"/>
        <v>7.7831827658095903E-2</v>
      </c>
      <c r="M38" s="1">
        <f t="shared" si="2"/>
        <v>0.31271716469770672</v>
      </c>
      <c r="O38">
        <v>37</v>
      </c>
      <c r="P38" t="s">
        <v>78</v>
      </c>
      <c r="Q38" t="s">
        <v>37</v>
      </c>
      <c r="R38">
        <v>469</v>
      </c>
      <c r="S38">
        <v>839</v>
      </c>
      <c r="T38">
        <v>130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365</v>
      </c>
      <c r="S39">
        <v>865</v>
      </c>
      <c r="T39">
        <v>208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322</v>
      </c>
      <c r="S40">
        <v>935</v>
      </c>
      <c r="T40">
        <v>181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452</v>
      </c>
      <c r="S41">
        <v>779</v>
      </c>
      <c r="T41">
        <v>207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320</v>
      </c>
      <c r="S42">
        <v>970</v>
      </c>
      <c r="T42">
        <v>147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336</v>
      </c>
      <c r="S43">
        <v>897</v>
      </c>
      <c r="T43">
        <v>206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345</v>
      </c>
      <c r="S44">
        <v>942</v>
      </c>
      <c r="T44">
        <v>151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337</v>
      </c>
      <c r="S45">
        <v>898</v>
      </c>
      <c r="T45">
        <v>203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534</v>
      </c>
      <c r="S46">
        <v>904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591</v>
      </c>
      <c r="S47">
        <v>848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390</v>
      </c>
      <c r="S48">
        <v>807</v>
      </c>
      <c r="T48">
        <v>241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308</v>
      </c>
      <c r="S49">
        <v>890</v>
      </c>
      <c r="T49">
        <v>241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159</v>
      </c>
      <c r="S51">
        <v>871</v>
      </c>
      <c r="T51">
        <v>407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198</v>
      </c>
      <c r="S52">
        <v>1230</v>
      </c>
      <c r="T52">
        <v>10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357</v>
      </c>
      <c r="S53">
        <v>875</v>
      </c>
      <c r="T53">
        <v>206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230</v>
      </c>
      <c r="S54">
        <v>1139</v>
      </c>
      <c r="T54">
        <v>70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449</v>
      </c>
      <c r="S55">
        <v>777</v>
      </c>
      <c r="T55">
        <v>212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201</v>
      </c>
      <c r="S56">
        <v>1158</v>
      </c>
      <c r="T56">
        <v>80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383</v>
      </c>
      <c r="S57">
        <v>851</v>
      </c>
      <c r="T57">
        <v>204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268</v>
      </c>
      <c r="S58">
        <v>1092</v>
      </c>
      <c r="T58">
        <v>79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333</v>
      </c>
      <c r="S59">
        <v>895</v>
      </c>
      <c r="T59">
        <v>210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213</v>
      </c>
      <c r="S60">
        <v>1158</v>
      </c>
      <c r="T60">
        <v>68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456</v>
      </c>
      <c r="S61">
        <v>739</v>
      </c>
      <c r="T61">
        <v>243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102</v>
      </c>
      <c r="S62">
        <v>848</v>
      </c>
      <c r="T62">
        <v>487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183</v>
      </c>
      <c r="S65">
        <v>848</v>
      </c>
      <c r="T65">
        <v>407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386</v>
      </c>
      <c r="S66">
        <v>903</v>
      </c>
      <c r="T66">
        <v>149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376</v>
      </c>
      <c r="S67">
        <v>860</v>
      </c>
      <c r="T67">
        <v>202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365</v>
      </c>
      <c r="S68">
        <v>941</v>
      </c>
      <c r="T68">
        <v>132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387</v>
      </c>
      <c r="S69">
        <v>848</v>
      </c>
      <c r="T69">
        <v>203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86</v>
      </c>
      <c r="S70">
        <v>1077</v>
      </c>
      <c r="T70">
        <v>275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176</v>
      </c>
      <c r="S71">
        <v>849</v>
      </c>
      <c r="T71">
        <v>412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70</v>
      </c>
      <c r="S72">
        <v>1097</v>
      </c>
      <c r="T72">
        <v>271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178</v>
      </c>
      <c r="S73">
        <v>855</v>
      </c>
      <c r="T73">
        <v>405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169</v>
      </c>
      <c r="S74">
        <v>1120</v>
      </c>
      <c r="T74">
        <v>148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383</v>
      </c>
      <c r="S75">
        <v>823</v>
      </c>
      <c r="T75">
        <v>232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125</v>
      </c>
      <c r="S76">
        <v>1068</v>
      </c>
      <c r="T76">
        <v>245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81</v>
      </c>
      <c r="S77">
        <v>1113</v>
      </c>
      <c r="T77">
        <v>243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95</v>
      </c>
      <c r="S79">
        <v>926</v>
      </c>
      <c r="T79">
        <v>416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173</v>
      </c>
      <c r="S80">
        <v>1219</v>
      </c>
      <c r="T80">
        <v>46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169</v>
      </c>
      <c r="S81">
        <v>832</v>
      </c>
      <c r="T81">
        <v>437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235</v>
      </c>
      <c r="S82">
        <v>1181</v>
      </c>
      <c r="T82">
        <v>22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255</v>
      </c>
      <c r="S83">
        <v>971</v>
      </c>
      <c r="T83">
        <v>212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195</v>
      </c>
      <c r="S84">
        <v>1051</v>
      </c>
      <c r="T84">
        <v>192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133</v>
      </c>
      <c r="S85">
        <v>886</v>
      </c>
      <c r="T85">
        <v>418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160</v>
      </c>
      <c r="S86">
        <v>1201</v>
      </c>
      <c r="T86">
        <v>77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145</v>
      </c>
      <c r="S87">
        <v>1087</v>
      </c>
      <c r="T87">
        <v>204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156</v>
      </c>
      <c r="S88">
        <v>543</v>
      </c>
      <c r="T88">
        <v>739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113</v>
      </c>
      <c r="Q107" t="s">
        <v>34</v>
      </c>
      <c r="R107">
        <v>128</v>
      </c>
      <c r="S107">
        <v>878</v>
      </c>
      <c r="T107">
        <v>431</v>
      </c>
    </row>
    <row r="108" spans="9:20" x14ac:dyDescent="0.3">
      <c r="O108">
        <v>107</v>
      </c>
      <c r="P108" t="s">
        <v>113</v>
      </c>
      <c r="Q108" t="s">
        <v>37</v>
      </c>
      <c r="R108">
        <v>87</v>
      </c>
      <c r="S108">
        <v>1092</v>
      </c>
      <c r="T108">
        <v>258</v>
      </c>
    </row>
    <row r="109" spans="9:20" x14ac:dyDescent="0.3">
      <c r="O109">
        <v>108</v>
      </c>
      <c r="P109" t="s">
        <v>114</v>
      </c>
      <c r="Q109" t="s">
        <v>34</v>
      </c>
      <c r="R109">
        <v>152</v>
      </c>
      <c r="S109">
        <v>864</v>
      </c>
      <c r="T109">
        <v>420</v>
      </c>
    </row>
    <row r="110" spans="9:20" x14ac:dyDescent="0.3">
      <c r="O110">
        <v>109</v>
      </c>
      <c r="P110" t="s">
        <v>114</v>
      </c>
      <c r="Q110" t="s">
        <v>37</v>
      </c>
      <c r="R110">
        <v>114</v>
      </c>
      <c r="S110">
        <v>1104</v>
      </c>
      <c r="T110">
        <v>219</v>
      </c>
    </row>
    <row r="111" spans="9:20" x14ac:dyDescent="0.3">
      <c r="O111">
        <v>110</v>
      </c>
      <c r="P111" t="s">
        <v>115</v>
      </c>
      <c r="Q111" t="s">
        <v>34</v>
      </c>
      <c r="R111">
        <v>60</v>
      </c>
      <c r="S111">
        <v>959</v>
      </c>
      <c r="T111">
        <v>419</v>
      </c>
    </row>
    <row r="112" spans="9:20" x14ac:dyDescent="0.3">
      <c r="O112">
        <v>111</v>
      </c>
      <c r="P112" t="s">
        <v>115</v>
      </c>
      <c r="Q112" t="s">
        <v>37</v>
      </c>
      <c r="R112">
        <v>223</v>
      </c>
      <c r="S112">
        <v>1191</v>
      </c>
      <c r="T112">
        <v>24</v>
      </c>
    </row>
    <row r="113" spans="15:20" x14ac:dyDescent="0.3">
      <c r="O113">
        <v>112</v>
      </c>
      <c r="P113" t="s">
        <v>116</v>
      </c>
      <c r="Q113" t="s">
        <v>34</v>
      </c>
      <c r="R113">
        <v>197</v>
      </c>
      <c r="S113">
        <v>997</v>
      </c>
      <c r="T113">
        <v>240</v>
      </c>
    </row>
    <row r="114" spans="15:20" x14ac:dyDescent="0.3">
      <c r="O114">
        <v>113</v>
      </c>
      <c r="P114" t="s">
        <v>116</v>
      </c>
      <c r="Q114" t="s">
        <v>37</v>
      </c>
      <c r="R114">
        <v>118</v>
      </c>
      <c r="S114">
        <v>1262</v>
      </c>
      <c r="T114">
        <v>59</v>
      </c>
    </row>
    <row r="115" spans="15:20" x14ac:dyDescent="0.3">
      <c r="O115">
        <v>114</v>
      </c>
      <c r="P115" t="s">
        <v>117</v>
      </c>
      <c r="Q115" t="s">
        <v>34</v>
      </c>
      <c r="R115">
        <v>119</v>
      </c>
      <c r="S115">
        <v>1114</v>
      </c>
      <c r="T115">
        <v>205</v>
      </c>
    </row>
    <row r="116" spans="15:20" x14ac:dyDescent="0.3">
      <c r="O116">
        <v>115</v>
      </c>
      <c r="P116" t="s">
        <v>117</v>
      </c>
      <c r="Q116" t="s">
        <v>37</v>
      </c>
      <c r="R116">
        <v>192</v>
      </c>
      <c r="S116">
        <v>1247</v>
      </c>
      <c r="T116">
        <v>0</v>
      </c>
    </row>
    <row r="117" spans="15:20" x14ac:dyDescent="0.3">
      <c r="O117">
        <v>116</v>
      </c>
      <c r="P117" t="s">
        <v>118</v>
      </c>
      <c r="Q117" t="s">
        <v>34</v>
      </c>
      <c r="R117">
        <v>87</v>
      </c>
      <c r="S117">
        <v>1083</v>
      </c>
      <c r="T117">
        <v>268</v>
      </c>
    </row>
    <row r="118" spans="15:20" x14ac:dyDescent="0.3">
      <c r="O118">
        <v>117</v>
      </c>
      <c r="P118" t="s">
        <v>118</v>
      </c>
      <c r="Q118" t="s">
        <v>37</v>
      </c>
      <c r="R118">
        <v>143</v>
      </c>
      <c r="S118">
        <v>806</v>
      </c>
      <c r="T118">
        <v>490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1310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120</v>
      </c>
      <c r="Q121" t="s">
        <v>34</v>
      </c>
      <c r="R121">
        <v>120</v>
      </c>
      <c r="S121">
        <v>910</v>
      </c>
      <c r="T121">
        <v>407</v>
      </c>
    </row>
    <row r="122" spans="15:20" x14ac:dyDescent="0.3">
      <c r="O122">
        <v>121</v>
      </c>
      <c r="P122" t="s">
        <v>120</v>
      </c>
      <c r="Q122" t="s">
        <v>37</v>
      </c>
      <c r="R122">
        <v>160</v>
      </c>
      <c r="S122">
        <v>972</v>
      </c>
      <c r="T122">
        <v>306</v>
      </c>
    </row>
    <row r="123" spans="15:20" x14ac:dyDescent="0.3">
      <c r="O123">
        <v>122</v>
      </c>
      <c r="P123" t="s">
        <v>121</v>
      </c>
      <c r="Q123" t="s">
        <v>34</v>
      </c>
      <c r="R123">
        <v>101</v>
      </c>
      <c r="S123">
        <v>927</v>
      </c>
      <c r="T123">
        <v>410</v>
      </c>
    </row>
    <row r="124" spans="15:20" x14ac:dyDescent="0.3">
      <c r="O124">
        <v>123</v>
      </c>
      <c r="P124" t="s">
        <v>121</v>
      </c>
      <c r="Q124" t="s">
        <v>37</v>
      </c>
      <c r="R124">
        <v>119</v>
      </c>
      <c r="S124">
        <v>1016</v>
      </c>
      <c r="T124">
        <v>303</v>
      </c>
    </row>
    <row r="125" spans="15:20" x14ac:dyDescent="0.3">
      <c r="O125">
        <v>124</v>
      </c>
      <c r="P125" t="s">
        <v>122</v>
      </c>
      <c r="Q125" t="s">
        <v>34</v>
      </c>
      <c r="R125">
        <v>127</v>
      </c>
      <c r="S125">
        <v>907</v>
      </c>
      <c r="T125">
        <v>405</v>
      </c>
    </row>
    <row r="126" spans="15:20" x14ac:dyDescent="0.3">
      <c r="O126">
        <v>125</v>
      </c>
      <c r="P126" t="s">
        <v>122</v>
      </c>
      <c r="Q126" t="s">
        <v>37</v>
      </c>
      <c r="R126">
        <v>123</v>
      </c>
      <c r="S126">
        <v>1028</v>
      </c>
      <c r="T126">
        <v>287</v>
      </c>
    </row>
    <row r="127" spans="15:20" x14ac:dyDescent="0.3">
      <c r="O127">
        <v>126</v>
      </c>
      <c r="P127" t="s">
        <v>123</v>
      </c>
      <c r="Q127" t="s">
        <v>34</v>
      </c>
      <c r="R127">
        <v>174</v>
      </c>
      <c r="S127">
        <v>863</v>
      </c>
      <c r="T127">
        <v>399</v>
      </c>
    </row>
    <row r="128" spans="15:20" x14ac:dyDescent="0.3">
      <c r="O128">
        <v>127</v>
      </c>
      <c r="P128" t="s">
        <v>123</v>
      </c>
      <c r="Q128" t="s">
        <v>37</v>
      </c>
      <c r="R128">
        <v>160</v>
      </c>
      <c r="S128">
        <v>975</v>
      </c>
      <c r="T128">
        <v>303</v>
      </c>
    </row>
    <row r="129" spans="15:20" x14ac:dyDescent="0.3">
      <c r="O129">
        <v>128</v>
      </c>
      <c r="P129" t="s">
        <v>124</v>
      </c>
      <c r="Q129" t="s">
        <v>34</v>
      </c>
      <c r="R129">
        <v>112</v>
      </c>
      <c r="S129">
        <v>905</v>
      </c>
      <c r="T129">
        <v>422</v>
      </c>
    </row>
    <row r="130" spans="15:20" x14ac:dyDescent="0.3">
      <c r="O130">
        <v>129</v>
      </c>
      <c r="P130" t="s">
        <v>124</v>
      </c>
      <c r="Q130" t="s">
        <v>37</v>
      </c>
      <c r="R130">
        <v>68</v>
      </c>
      <c r="S130">
        <v>1069</v>
      </c>
      <c r="T130">
        <v>299</v>
      </c>
    </row>
    <row r="131" spans="15:20" x14ac:dyDescent="0.3">
      <c r="O131">
        <v>130</v>
      </c>
      <c r="P131" t="s">
        <v>125</v>
      </c>
      <c r="Q131" t="s">
        <v>34</v>
      </c>
      <c r="R131">
        <v>105</v>
      </c>
      <c r="S131">
        <v>873</v>
      </c>
      <c r="T131">
        <v>460</v>
      </c>
    </row>
    <row r="132" spans="15:20" x14ac:dyDescent="0.3">
      <c r="O132">
        <v>131</v>
      </c>
      <c r="P132" t="s">
        <v>125</v>
      </c>
      <c r="Q132" t="s">
        <v>37</v>
      </c>
      <c r="R132">
        <v>88</v>
      </c>
      <c r="S132">
        <v>862</v>
      </c>
      <c r="T132">
        <v>487</v>
      </c>
    </row>
    <row r="133" spans="15:20" x14ac:dyDescent="0.3">
      <c r="O133">
        <v>132</v>
      </c>
      <c r="P133" t="s">
        <v>126</v>
      </c>
      <c r="Q133" t="s">
        <v>34</v>
      </c>
      <c r="R133">
        <v>64</v>
      </c>
      <c r="S133">
        <v>905</v>
      </c>
      <c r="T133">
        <v>470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127</v>
      </c>
      <c r="Q135" t="s">
        <v>34</v>
      </c>
      <c r="R135">
        <v>96</v>
      </c>
      <c r="S135">
        <v>929</v>
      </c>
      <c r="T135">
        <v>413</v>
      </c>
    </row>
    <row r="136" spans="15:20" x14ac:dyDescent="0.3">
      <c r="O136">
        <v>135</v>
      </c>
      <c r="P136" t="s">
        <v>127</v>
      </c>
      <c r="Q136" t="s">
        <v>37</v>
      </c>
      <c r="R136">
        <v>128</v>
      </c>
      <c r="S136">
        <v>1253</v>
      </c>
      <c r="T136">
        <v>58</v>
      </c>
    </row>
    <row r="137" spans="15:20" x14ac:dyDescent="0.3">
      <c r="O137">
        <v>136</v>
      </c>
      <c r="P137" t="s">
        <v>128</v>
      </c>
      <c r="Q137" t="s">
        <v>34</v>
      </c>
      <c r="R137">
        <v>125</v>
      </c>
      <c r="S137">
        <v>895</v>
      </c>
      <c r="T137">
        <v>418</v>
      </c>
    </row>
    <row r="138" spans="15:20" x14ac:dyDescent="0.3">
      <c r="O138">
        <v>137</v>
      </c>
      <c r="P138" t="s">
        <v>128</v>
      </c>
      <c r="Q138" t="s">
        <v>37</v>
      </c>
      <c r="R138">
        <v>140</v>
      </c>
      <c r="S138">
        <v>1299</v>
      </c>
      <c r="T138">
        <v>0</v>
      </c>
    </row>
    <row r="139" spans="15:20" x14ac:dyDescent="0.3">
      <c r="O139">
        <v>138</v>
      </c>
      <c r="P139" t="s">
        <v>129</v>
      </c>
      <c r="Q139" t="s">
        <v>34</v>
      </c>
      <c r="R139">
        <v>99</v>
      </c>
      <c r="S139">
        <v>978</v>
      </c>
      <c r="T139">
        <v>360</v>
      </c>
    </row>
    <row r="140" spans="15:20" x14ac:dyDescent="0.3">
      <c r="O140">
        <v>139</v>
      </c>
      <c r="P140" t="s">
        <v>129</v>
      </c>
      <c r="Q140" t="s">
        <v>37</v>
      </c>
      <c r="R140">
        <v>133</v>
      </c>
      <c r="S140">
        <v>1289</v>
      </c>
      <c r="T140">
        <v>17</v>
      </c>
    </row>
    <row r="141" spans="15:20" x14ac:dyDescent="0.3">
      <c r="O141">
        <v>140</v>
      </c>
      <c r="P141" t="s">
        <v>130</v>
      </c>
      <c r="Q141" t="s">
        <v>34</v>
      </c>
      <c r="R141">
        <v>129</v>
      </c>
      <c r="S141">
        <v>952</v>
      </c>
      <c r="T141">
        <v>356</v>
      </c>
    </row>
    <row r="142" spans="15:20" x14ac:dyDescent="0.3">
      <c r="O142">
        <v>141</v>
      </c>
      <c r="P142" t="s">
        <v>130</v>
      </c>
      <c r="Q142" t="s">
        <v>37</v>
      </c>
      <c r="R142">
        <v>116</v>
      </c>
      <c r="S142">
        <v>1323</v>
      </c>
      <c r="T142">
        <v>0</v>
      </c>
    </row>
    <row r="143" spans="15:20" x14ac:dyDescent="0.3">
      <c r="O143">
        <v>142</v>
      </c>
      <c r="P143" t="s">
        <v>131</v>
      </c>
      <c r="Q143" t="s">
        <v>34</v>
      </c>
      <c r="R143">
        <v>86</v>
      </c>
      <c r="S143">
        <v>977</v>
      </c>
      <c r="T143">
        <v>375</v>
      </c>
    </row>
    <row r="144" spans="15:20" x14ac:dyDescent="0.3">
      <c r="O144">
        <v>143</v>
      </c>
      <c r="P144" t="s">
        <v>131</v>
      </c>
      <c r="Q144" t="s">
        <v>37</v>
      </c>
      <c r="R144">
        <v>74</v>
      </c>
      <c r="S144">
        <v>1300</v>
      </c>
      <c r="T144">
        <v>64</v>
      </c>
    </row>
    <row r="145" spans="15:20" x14ac:dyDescent="0.3">
      <c r="O145">
        <v>144</v>
      </c>
      <c r="P145" t="s">
        <v>132</v>
      </c>
      <c r="Q145" t="s">
        <v>34</v>
      </c>
      <c r="R145">
        <v>152</v>
      </c>
      <c r="S145">
        <v>814</v>
      </c>
      <c r="T145">
        <v>472</v>
      </c>
    </row>
    <row r="146" spans="15:20" x14ac:dyDescent="0.3">
      <c r="O146">
        <v>145</v>
      </c>
      <c r="P146" t="s">
        <v>132</v>
      </c>
      <c r="Q146" t="s">
        <v>37</v>
      </c>
      <c r="R146">
        <v>66</v>
      </c>
      <c r="S146">
        <v>884</v>
      </c>
      <c r="T146">
        <v>488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134</v>
      </c>
      <c r="Q149" t="s">
        <v>34</v>
      </c>
      <c r="R149">
        <v>159</v>
      </c>
      <c r="S149">
        <v>872</v>
      </c>
      <c r="T149">
        <v>407</v>
      </c>
    </row>
    <row r="150" spans="15:20" x14ac:dyDescent="0.3">
      <c r="O150">
        <v>149</v>
      </c>
      <c r="P150" t="s">
        <v>134</v>
      </c>
      <c r="Q150" t="s">
        <v>37</v>
      </c>
      <c r="R150">
        <v>130</v>
      </c>
      <c r="S150">
        <v>1025</v>
      </c>
      <c r="T150">
        <v>282</v>
      </c>
    </row>
    <row r="151" spans="15:20" x14ac:dyDescent="0.3">
      <c r="O151">
        <v>150</v>
      </c>
      <c r="P151" t="s">
        <v>135</v>
      </c>
      <c r="Q151" t="s">
        <v>34</v>
      </c>
      <c r="R151">
        <v>135</v>
      </c>
      <c r="S151">
        <v>900</v>
      </c>
      <c r="T151">
        <v>403</v>
      </c>
    </row>
    <row r="152" spans="15:20" x14ac:dyDescent="0.3">
      <c r="O152">
        <v>151</v>
      </c>
      <c r="P152" t="s">
        <v>135</v>
      </c>
      <c r="Q152" t="s">
        <v>37</v>
      </c>
      <c r="R152">
        <v>102</v>
      </c>
      <c r="S152">
        <v>1028</v>
      </c>
      <c r="T152">
        <v>307</v>
      </c>
    </row>
    <row r="153" spans="15:20" x14ac:dyDescent="0.3">
      <c r="O153">
        <v>152</v>
      </c>
      <c r="P153" t="s">
        <v>136</v>
      </c>
      <c r="Q153" t="s">
        <v>34</v>
      </c>
      <c r="R153">
        <v>179</v>
      </c>
      <c r="S153">
        <v>868</v>
      </c>
      <c r="T153">
        <v>392</v>
      </c>
    </row>
    <row r="154" spans="15:20" x14ac:dyDescent="0.3">
      <c r="O154">
        <v>153</v>
      </c>
      <c r="P154" t="s">
        <v>136</v>
      </c>
      <c r="Q154" t="s">
        <v>37</v>
      </c>
      <c r="R154">
        <v>155</v>
      </c>
      <c r="S154">
        <v>1021</v>
      </c>
      <c r="T154">
        <v>261</v>
      </c>
    </row>
    <row r="155" spans="15:20" x14ac:dyDescent="0.3">
      <c r="O155">
        <v>154</v>
      </c>
      <c r="P155" t="s">
        <v>137</v>
      </c>
      <c r="Q155" t="s">
        <v>34</v>
      </c>
      <c r="R155">
        <v>254</v>
      </c>
      <c r="S155">
        <v>781</v>
      </c>
      <c r="T155">
        <v>403</v>
      </c>
    </row>
    <row r="156" spans="15:20" x14ac:dyDescent="0.3">
      <c r="O156">
        <v>155</v>
      </c>
      <c r="P156" t="s">
        <v>137</v>
      </c>
      <c r="Q156" t="s">
        <v>37</v>
      </c>
      <c r="R156">
        <v>75</v>
      </c>
      <c r="S156">
        <v>1061</v>
      </c>
      <c r="T156">
        <v>301</v>
      </c>
    </row>
    <row r="157" spans="15:20" x14ac:dyDescent="0.3">
      <c r="O157">
        <v>156</v>
      </c>
      <c r="P157" t="s">
        <v>138</v>
      </c>
      <c r="Q157" t="s">
        <v>34</v>
      </c>
      <c r="R157">
        <v>157</v>
      </c>
      <c r="S157">
        <v>879</v>
      </c>
      <c r="T157">
        <v>402</v>
      </c>
    </row>
    <row r="158" spans="15:20" x14ac:dyDescent="0.3">
      <c r="O158">
        <v>157</v>
      </c>
      <c r="P158" t="s">
        <v>138</v>
      </c>
      <c r="Q158" t="s">
        <v>37</v>
      </c>
      <c r="R158">
        <v>81</v>
      </c>
      <c r="S158">
        <v>1059</v>
      </c>
      <c r="T158">
        <v>298</v>
      </c>
    </row>
    <row r="159" spans="15:20" x14ac:dyDescent="0.3">
      <c r="O159">
        <v>158</v>
      </c>
      <c r="P159" t="s">
        <v>139</v>
      </c>
      <c r="Q159" t="s">
        <v>34</v>
      </c>
      <c r="R159">
        <v>194</v>
      </c>
      <c r="S159">
        <v>796</v>
      </c>
      <c r="T159">
        <v>449</v>
      </c>
    </row>
    <row r="160" spans="15:20" x14ac:dyDescent="0.3">
      <c r="O160">
        <v>159</v>
      </c>
      <c r="P160" t="s">
        <v>139</v>
      </c>
      <c r="Q160" t="s">
        <v>37</v>
      </c>
      <c r="R160">
        <v>104</v>
      </c>
      <c r="S160">
        <v>848</v>
      </c>
      <c r="T160">
        <v>487</v>
      </c>
    </row>
    <row r="161" spans="15:20" x14ac:dyDescent="0.3">
      <c r="O161">
        <v>160</v>
      </c>
      <c r="P161" t="s">
        <v>140</v>
      </c>
      <c r="Q161" t="s">
        <v>34</v>
      </c>
      <c r="R161">
        <v>165</v>
      </c>
      <c r="S161">
        <v>774</v>
      </c>
      <c r="T161">
        <v>498</v>
      </c>
    </row>
    <row r="162" spans="15:20" x14ac:dyDescent="0.3">
      <c r="O162">
        <v>161</v>
      </c>
      <c r="P162" t="s">
        <v>140</v>
      </c>
      <c r="Q162" t="s">
        <v>37</v>
      </c>
      <c r="R162">
        <v>0</v>
      </c>
      <c r="S162">
        <v>0</v>
      </c>
      <c r="T162">
        <v>1440</v>
      </c>
    </row>
    <row r="163" spans="15:20" x14ac:dyDescent="0.3">
      <c r="O163">
        <v>162</v>
      </c>
      <c r="P163" t="s">
        <v>141</v>
      </c>
      <c r="Q163" t="s">
        <v>34</v>
      </c>
      <c r="R163">
        <v>136</v>
      </c>
      <c r="S163">
        <v>890</v>
      </c>
      <c r="T163">
        <v>412</v>
      </c>
    </row>
    <row r="164" spans="15:20" x14ac:dyDescent="0.3">
      <c r="O164">
        <v>163</v>
      </c>
      <c r="P164" t="s">
        <v>141</v>
      </c>
      <c r="Q164" t="s">
        <v>37</v>
      </c>
      <c r="R164">
        <v>200</v>
      </c>
      <c r="S164">
        <v>1136</v>
      </c>
      <c r="T164">
        <v>101</v>
      </c>
    </row>
    <row r="165" spans="15:20" x14ac:dyDescent="0.3">
      <c r="O165">
        <v>164</v>
      </c>
      <c r="P165" t="s">
        <v>142</v>
      </c>
      <c r="Q165" t="s">
        <v>34</v>
      </c>
      <c r="R165">
        <v>145</v>
      </c>
      <c r="S165">
        <v>891</v>
      </c>
      <c r="T165">
        <v>402</v>
      </c>
    </row>
    <row r="166" spans="15:20" x14ac:dyDescent="0.3">
      <c r="O166">
        <v>165</v>
      </c>
      <c r="P166" t="s">
        <v>142</v>
      </c>
      <c r="Q166" t="s">
        <v>37</v>
      </c>
      <c r="R166">
        <v>69</v>
      </c>
      <c r="S166">
        <v>1316</v>
      </c>
      <c r="T166">
        <v>54</v>
      </c>
    </row>
    <row r="167" spans="15:20" x14ac:dyDescent="0.3">
      <c r="O167">
        <v>166</v>
      </c>
      <c r="P167" t="s">
        <v>143</v>
      </c>
      <c r="Q167" t="s">
        <v>34</v>
      </c>
      <c r="R167">
        <v>167</v>
      </c>
      <c r="S167">
        <v>865</v>
      </c>
      <c r="T167">
        <v>406</v>
      </c>
    </row>
    <row r="168" spans="15:20" x14ac:dyDescent="0.3">
      <c r="O168">
        <v>167</v>
      </c>
      <c r="P168" t="s">
        <v>143</v>
      </c>
      <c r="Q168" t="s">
        <v>37</v>
      </c>
      <c r="R168">
        <v>124</v>
      </c>
      <c r="S168">
        <v>1211</v>
      </c>
      <c r="T168">
        <v>103</v>
      </c>
    </row>
    <row r="169" spans="15:20" x14ac:dyDescent="0.3">
      <c r="O169">
        <v>168</v>
      </c>
      <c r="P169" t="s">
        <v>144</v>
      </c>
      <c r="Q169" t="s">
        <v>34</v>
      </c>
      <c r="R169">
        <v>107</v>
      </c>
      <c r="S169">
        <v>918</v>
      </c>
      <c r="T169">
        <v>412</v>
      </c>
    </row>
    <row r="170" spans="15:20" x14ac:dyDescent="0.3">
      <c r="O170">
        <v>169</v>
      </c>
      <c r="P170" t="s">
        <v>144</v>
      </c>
      <c r="Q170" t="s">
        <v>37</v>
      </c>
      <c r="R170">
        <v>109</v>
      </c>
      <c r="S170">
        <v>1137</v>
      </c>
      <c r="T170">
        <v>193</v>
      </c>
    </row>
    <row r="171" spans="15:20" x14ac:dyDescent="0.3">
      <c r="O171">
        <v>170</v>
      </c>
      <c r="P171" t="s">
        <v>145</v>
      </c>
      <c r="Q171" t="s">
        <v>34</v>
      </c>
      <c r="R171">
        <v>93</v>
      </c>
      <c r="S171">
        <v>929</v>
      </c>
      <c r="T171">
        <v>414</v>
      </c>
    </row>
    <row r="172" spans="15:20" x14ac:dyDescent="0.3">
      <c r="O172">
        <v>171</v>
      </c>
      <c r="P172" t="s">
        <v>145</v>
      </c>
      <c r="Q172" t="s">
        <v>37</v>
      </c>
      <c r="R172">
        <v>121</v>
      </c>
      <c r="S172">
        <v>1136</v>
      </c>
      <c r="T172">
        <v>180</v>
      </c>
    </row>
    <row r="173" spans="15:20" x14ac:dyDescent="0.3">
      <c r="O173">
        <v>172</v>
      </c>
      <c r="P173" t="s">
        <v>146</v>
      </c>
      <c r="Q173" t="s">
        <v>34</v>
      </c>
      <c r="R173">
        <v>31</v>
      </c>
      <c r="S173">
        <v>932</v>
      </c>
      <c r="T173">
        <v>475</v>
      </c>
    </row>
    <row r="174" spans="15:20" x14ac:dyDescent="0.3">
      <c r="O174">
        <v>173</v>
      </c>
      <c r="P174" t="s">
        <v>146</v>
      </c>
      <c r="Q174" t="s">
        <v>37</v>
      </c>
      <c r="R174">
        <v>42</v>
      </c>
      <c r="S174">
        <v>1045</v>
      </c>
      <c r="T174">
        <v>351</v>
      </c>
    </row>
    <row r="175" spans="15:20" x14ac:dyDescent="0.3">
      <c r="O175">
        <v>174</v>
      </c>
      <c r="P175" t="s">
        <v>147</v>
      </c>
      <c r="Q175" t="s">
        <v>34</v>
      </c>
      <c r="R175">
        <v>58</v>
      </c>
      <c r="S175">
        <v>907</v>
      </c>
      <c r="T175">
        <v>473</v>
      </c>
    </row>
    <row r="176" spans="15:20" x14ac:dyDescent="0.3">
      <c r="O176">
        <v>175</v>
      </c>
      <c r="P176" t="s">
        <v>147</v>
      </c>
      <c r="Q176" t="s">
        <v>37</v>
      </c>
      <c r="R176">
        <v>0</v>
      </c>
      <c r="S176">
        <v>0</v>
      </c>
      <c r="T176">
        <v>1440</v>
      </c>
    </row>
    <row r="177" spans="15:20" x14ac:dyDescent="0.3">
      <c r="O177">
        <v>176</v>
      </c>
      <c r="P177" t="s">
        <v>148</v>
      </c>
      <c r="Q177" t="s">
        <v>34</v>
      </c>
      <c r="R177">
        <v>148</v>
      </c>
      <c r="S177">
        <v>887</v>
      </c>
      <c r="T177">
        <v>404</v>
      </c>
    </row>
    <row r="178" spans="15:20" x14ac:dyDescent="0.3">
      <c r="O178">
        <v>177</v>
      </c>
      <c r="P178" t="s">
        <v>148</v>
      </c>
      <c r="Q178" t="s">
        <v>37</v>
      </c>
      <c r="R178">
        <v>83</v>
      </c>
      <c r="S178">
        <v>1125</v>
      </c>
      <c r="T178">
        <v>229</v>
      </c>
    </row>
    <row r="179" spans="15:20" x14ac:dyDescent="0.3">
      <c r="O179">
        <v>178</v>
      </c>
      <c r="P179" t="s">
        <v>149</v>
      </c>
      <c r="Q179" t="s">
        <v>34</v>
      </c>
      <c r="R179">
        <v>121</v>
      </c>
      <c r="S179">
        <v>915</v>
      </c>
      <c r="T179">
        <v>402</v>
      </c>
    </row>
    <row r="180" spans="15:20" x14ac:dyDescent="0.3">
      <c r="O180">
        <v>179</v>
      </c>
      <c r="P180" t="s">
        <v>149</v>
      </c>
      <c r="Q180" t="s">
        <v>37</v>
      </c>
      <c r="R180">
        <v>120</v>
      </c>
      <c r="S180">
        <v>1010</v>
      </c>
      <c r="T180">
        <v>309</v>
      </c>
    </row>
    <row r="181" spans="15:20" x14ac:dyDescent="0.3">
      <c r="O181">
        <v>180</v>
      </c>
      <c r="P181" t="s">
        <v>150</v>
      </c>
      <c r="Q181" t="s">
        <v>34</v>
      </c>
      <c r="R181">
        <v>71</v>
      </c>
      <c r="S181">
        <v>963</v>
      </c>
      <c r="T181">
        <v>404</v>
      </c>
    </row>
    <row r="182" spans="15:20" x14ac:dyDescent="0.3">
      <c r="O182">
        <v>181</v>
      </c>
      <c r="P182" t="s">
        <v>150</v>
      </c>
      <c r="Q182" t="s">
        <v>37</v>
      </c>
      <c r="R182">
        <v>58</v>
      </c>
      <c r="S182">
        <v>1092</v>
      </c>
      <c r="T182">
        <v>287</v>
      </c>
    </row>
    <row r="183" spans="15:20" x14ac:dyDescent="0.3">
      <c r="O183">
        <v>182</v>
      </c>
      <c r="P183" t="s">
        <v>151</v>
      </c>
      <c r="Q183" t="s">
        <v>34</v>
      </c>
      <c r="R183">
        <v>171</v>
      </c>
      <c r="S183">
        <v>871</v>
      </c>
      <c r="T183">
        <v>396</v>
      </c>
    </row>
    <row r="184" spans="15:20" x14ac:dyDescent="0.3">
      <c r="O184">
        <v>183</v>
      </c>
      <c r="P184" t="s">
        <v>151</v>
      </c>
      <c r="Q184" t="s">
        <v>37</v>
      </c>
      <c r="R184">
        <v>173</v>
      </c>
      <c r="S184">
        <v>958</v>
      </c>
      <c r="T184">
        <v>307</v>
      </c>
    </row>
    <row r="185" spans="15:20" x14ac:dyDescent="0.3">
      <c r="O185">
        <v>184</v>
      </c>
      <c r="P185" t="s">
        <v>152</v>
      </c>
      <c r="Q185" t="s">
        <v>34</v>
      </c>
      <c r="R185">
        <v>48</v>
      </c>
      <c r="S185">
        <v>987</v>
      </c>
      <c r="T185">
        <v>403</v>
      </c>
    </row>
    <row r="186" spans="15:20" x14ac:dyDescent="0.3">
      <c r="O186">
        <v>185</v>
      </c>
      <c r="P186" t="s">
        <v>152</v>
      </c>
      <c r="Q186" t="s">
        <v>37</v>
      </c>
      <c r="R186">
        <v>154</v>
      </c>
      <c r="S186">
        <v>976</v>
      </c>
      <c r="T186">
        <v>308</v>
      </c>
    </row>
    <row r="187" spans="15:20" x14ac:dyDescent="0.3">
      <c r="O187">
        <v>186</v>
      </c>
      <c r="P187" t="s">
        <v>153</v>
      </c>
      <c r="Q187" t="s">
        <v>34</v>
      </c>
      <c r="R187">
        <v>117</v>
      </c>
      <c r="S187">
        <v>854</v>
      </c>
      <c r="T187">
        <v>466</v>
      </c>
    </row>
    <row r="188" spans="15:20" x14ac:dyDescent="0.3">
      <c r="O188">
        <v>187</v>
      </c>
      <c r="P188" t="s">
        <v>153</v>
      </c>
      <c r="Q188" t="s">
        <v>37</v>
      </c>
      <c r="R188">
        <v>48</v>
      </c>
      <c r="S188">
        <v>976</v>
      </c>
      <c r="T188">
        <v>413</v>
      </c>
    </row>
    <row r="189" spans="15:20" x14ac:dyDescent="0.3">
      <c r="O189">
        <v>188</v>
      </c>
      <c r="P189" t="s">
        <v>154</v>
      </c>
      <c r="Q189" t="s">
        <v>34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154</v>
      </c>
      <c r="Q190" t="s">
        <v>37</v>
      </c>
      <c r="R190">
        <v>0</v>
      </c>
      <c r="S190">
        <v>0</v>
      </c>
      <c r="T190">
        <v>1440</v>
      </c>
    </row>
    <row r="191" spans="15:20" x14ac:dyDescent="0.3">
      <c r="O191">
        <v>190</v>
      </c>
      <c r="P191" t="s">
        <v>155</v>
      </c>
      <c r="Q191" t="s">
        <v>34</v>
      </c>
      <c r="R191">
        <v>65</v>
      </c>
      <c r="S191">
        <v>966</v>
      </c>
      <c r="T191">
        <v>406</v>
      </c>
    </row>
    <row r="192" spans="15:20" x14ac:dyDescent="0.3">
      <c r="O192">
        <v>191</v>
      </c>
      <c r="P192" t="s">
        <v>155</v>
      </c>
      <c r="Q192" t="s">
        <v>37</v>
      </c>
      <c r="R192">
        <v>113</v>
      </c>
      <c r="S192">
        <v>1190</v>
      </c>
      <c r="T192">
        <v>136</v>
      </c>
    </row>
    <row r="193" spans="15:20" x14ac:dyDescent="0.3">
      <c r="O193">
        <v>192</v>
      </c>
      <c r="P193" t="s">
        <v>156</v>
      </c>
      <c r="Q193" t="s">
        <v>34</v>
      </c>
      <c r="R193">
        <v>127</v>
      </c>
      <c r="S193">
        <v>903</v>
      </c>
      <c r="T193">
        <v>407</v>
      </c>
    </row>
    <row r="194" spans="15:20" x14ac:dyDescent="0.3">
      <c r="O194">
        <v>193</v>
      </c>
      <c r="P194" t="s">
        <v>156</v>
      </c>
      <c r="Q194" t="s">
        <v>37</v>
      </c>
      <c r="R194">
        <v>127</v>
      </c>
      <c r="S194">
        <v>1131</v>
      </c>
      <c r="T194">
        <v>178</v>
      </c>
    </row>
    <row r="195" spans="15:20" x14ac:dyDescent="0.3">
      <c r="O195">
        <v>194</v>
      </c>
      <c r="P195" t="s">
        <v>157</v>
      </c>
      <c r="Q195" t="s">
        <v>34</v>
      </c>
      <c r="R195">
        <v>116</v>
      </c>
      <c r="S195">
        <v>913</v>
      </c>
      <c r="T195">
        <v>408</v>
      </c>
    </row>
    <row r="196" spans="15:20" x14ac:dyDescent="0.3">
      <c r="O196">
        <v>195</v>
      </c>
      <c r="P196" t="s">
        <v>157</v>
      </c>
      <c r="Q196" t="s">
        <v>37</v>
      </c>
      <c r="R196">
        <v>163</v>
      </c>
      <c r="S196">
        <v>1228</v>
      </c>
      <c r="T196">
        <v>47</v>
      </c>
    </row>
    <row r="197" spans="15:20" x14ac:dyDescent="0.3">
      <c r="O197">
        <v>196</v>
      </c>
      <c r="P197" t="s">
        <v>158</v>
      </c>
      <c r="Q197" t="s">
        <v>34</v>
      </c>
      <c r="R197">
        <v>55</v>
      </c>
      <c r="S197">
        <v>966</v>
      </c>
      <c r="T197">
        <v>415</v>
      </c>
    </row>
    <row r="198" spans="15:20" x14ac:dyDescent="0.3">
      <c r="O198">
        <v>197</v>
      </c>
      <c r="P198" t="s">
        <v>158</v>
      </c>
      <c r="Q198" t="s">
        <v>37</v>
      </c>
      <c r="R198">
        <v>167</v>
      </c>
      <c r="S198">
        <v>1069</v>
      </c>
      <c r="T198">
        <v>201</v>
      </c>
    </row>
    <row r="199" spans="15:20" x14ac:dyDescent="0.3">
      <c r="O199">
        <v>198</v>
      </c>
      <c r="P199" t="s">
        <v>159</v>
      </c>
      <c r="Q199" t="s">
        <v>34</v>
      </c>
      <c r="R199">
        <v>82</v>
      </c>
      <c r="S199">
        <v>944</v>
      </c>
      <c r="T199">
        <v>412</v>
      </c>
    </row>
    <row r="200" spans="15:20" x14ac:dyDescent="0.3">
      <c r="O200">
        <v>199</v>
      </c>
      <c r="P200" t="s">
        <v>159</v>
      </c>
      <c r="Q200" t="s">
        <v>37</v>
      </c>
      <c r="R200">
        <v>185</v>
      </c>
      <c r="S200">
        <v>1046</v>
      </c>
      <c r="T200">
        <v>208</v>
      </c>
    </row>
    <row r="201" spans="15:20" x14ac:dyDescent="0.3">
      <c r="O201">
        <v>200</v>
      </c>
      <c r="P201" t="s">
        <v>160</v>
      </c>
      <c r="Q201" t="s">
        <v>34</v>
      </c>
      <c r="R201">
        <v>132</v>
      </c>
      <c r="S201">
        <v>838</v>
      </c>
      <c r="T201">
        <v>468</v>
      </c>
    </row>
    <row r="202" spans="15:20" x14ac:dyDescent="0.3">
      <c r="O202">
        <v>201</v>
      </c>
      <c r="P202" t="s">
        <v>160</v>
      </c>
      <c r="Q202" t="s">
        <v>37</v>
      </c>
      <c r="R202">
        <v>126</v>
      </c>
      <c r="S202">
        <v>937</v>
      </c>
      <c r="T202">
        <v>375</v>
      </c>
    </row>
    <row r="203" spans="15:20" x14ac:dyDescent="0.3">
      <c r="O203">
        <v>202</v>
      </c>
      <c r="P203" t="s">
        <v>161</v>
      </c>
      <c r="Q203" t="s">
        <v>34</v>
      </c>
      <c r="R203">
        <v>70</v>
      </c>
      <c r="S203">
        <v>888</v>
      </c>
      <c r="T203">
        <v>478</v>
      </c>
    </row>
    <row r="204" spans="15:20" x14ac:dyDescent="0.3">
      <c r="O204">
        <v>203</v>
      </c>
      <c r="P204" t="s">
        <v>161</v>
      </c>
      <c r="Q204" t="s">
        <v>37</v>
      </c>
      <c r="R204">
        <v>0</v>
      </c>
      <c r="S204">
        <v>0</v>
      </c>
      <c r="T204">
        <v>1440</v>
      </c>
    </row>
    <row r="205" spans="15:20" x14ac:dyDescent="0.3">
      <c r="O205">
        <v>204</v>
      </c>
      <c r="P205" t="s">
        <v>162</v>
      </c>
      <c r="Q205" t="s">
        <v>34</v>
      </c>
      <c r="R205">
        <v>132</v>
      </c>
      <c r="S205">
        <v>922</v>
      </c>
      <c r="T205">
        <v>384</v>
      </c>
    </row>
    <row r="206" spans="15:20" x14ac:dyDescent="0.3">
      <c r="O206">
        <v>205</v>
      </c>
      <c r="P206" t="s">
        <v>162</v>
      </c>
      <c r="Q206" t="s">
        <v>37</v>
      </c>
      <c r="R206">
        <v>80</v>
      </c>
      <c r="S206">
        <v>1064</v>
      </c>
      <c r="T206">
        <v>294</v>
      </c>
    </row>
    <row r="207" spans="15:20" x14ac:dyDescent="0.3">
      <c r="O207">
        <v>206</v>
      </c>
      <c r="P207" t="s">
        <v>163</v>
      </c>
      <c r="Q207" t="s">
        <v>34</v>
      </c>
      <c r="R207">
        <v>79</v>
      </c>
      <c r="S207">
        <v>975</v>
      </c>
      <c r="T207">
        <v>384</v>
      </c>
    </row>
    <row r="208" spans="15:20" x14ac:dyDescent="0.3">
      <c r="O208">
        <v>207</v>
      </c>
      <c r="P208" t="s">
        <v>163</v>
      </c>
      <c r="Q208" t="s">
        <v>37</v>
      </c>
      <c r="R208">
        <v>308</v>
      </c>
      <c r="S208">
        <v>989</v>
      </c>
      <c r="T208">
        <v>142</v>
      </c>
    </row>
    <row r="209" spans="15:20" x14ac:dyDescent="0.3">
      <c r="O209">
        <v>208</v>
      </c>
      <c r="P209" t="s">
        <v>164</v>
      </c>
      <c r="Q209" t="s">
        <v>34</v>
      </c>
      <c r="R209">
        <v>383</v>
      </c>
      <c r="S209">
        <v>865</v>
      </c>
      <c r="T209">
        <v>192</v>
      </c>
    </row>
    <row r="210" spans="15:20" x14ac:dyDescent="0.3">
      <c r="O210">
        <v>209</v>
      </c>
      <c r="P210" t="s">
        <v>164</v>
      </c>
      <c r="Q210" t="s">
        <v>37</v>
      </c>
      <c r="R210">
        <v>68</v>
      </c>
      <c r="S210">
        <v>1055</v>
      </c>
      <c r="T210">
        <v>314</v>
      </c>
    </row>
    <row r="211" spans="15:20" x14ac:dyDescent="0.3">
      <c r="O211">
        <v>210</v>
      </c>
      <c r="P211" t="s">
        <v>165</v>
      </c>
      <c r="Q211" t="s">
        <v>34</v>
      </c>
      <c r="R211">
        <v>105</v>
      </c>
      <c r="S211">
        <v>933</v>
      </c>
      <c r="T211">
        <v>397</v>
      </c>
    </row>
    <row r="212" spans="15:20" x14ac:dyDescent="0.3">
      <c r="O212">
        <v>211</v>
      </c>
      <c r="P212" t="s">
        <v>165</v>
      </c>
      <c r="Q212" t="s">
        <v>37</v>
      </c>
      <c r="R212">
        <v>114</v>
      </c>
      <c r="S212">
        <v>1016</v>
      </c>
      <c r="T212">
        <v>308</v>
      </c>
    </row>
    <row r="213" spans="15:20" x14ac:dyDescent="0.3">
      <c r="O213">
        <v>212</v>
      </c>
      <c r="P213" t="s">
        <v>166</v>
      </c>
      <c r="Q213" t="s">
        <v>34</v>
      </c>
      <c r="R213">
        <v>140</v>
      </c>
      <c r="S213">
        <v>908</v>
      </c>
      <c r="T213">
        <v>388</v>
      </c>
    </row>
    <row r="214" spans="15:20" x14ac:dyDescent="0.3">
      <c r="O214">
        <v>213</v>
      </c>
      <c r="P214" t="s">
        <v>166</v>
      </c>
      <c r="Q214" t="s">
        <v>37</v>
      </c>
      <c r="R214">
        <v>94</v>
      </c>
      <c r="S214">
        <v>1032</v>
      </c>
      <c r="T214">
        <v>312</v>
      </c>
    </row>
    <row r="215" spans="15:20" x14ac:dyDescent="0.3">
      <c r="O215">
        <v>214</v>
      </c>
      <c r="P215" t="s">
        <v>167</v>
      </c>
      <c r="Q215" t="s">
        <v>34</v>
      </c>
      <c r="R215">
        <v>158</v>
      </c>
      <c r="S215">
        <v>836</v>
      </c>
      <c r="T215">
        <v>444</v>
      </c>
    </row>
    <row r="216" spans="15:20" x14ac:dyDescent="0.3">
      <c r="O216">
        <v>215</v>
      </c>
      <c r="P216" t="s">
        <v>167</v>
      </c>
      <c r="Q216" t="s">
        <v>37</v>
      </c>
      <c r="R216">
        <v>59</v>
      </c>
      <c r="S216">
        <v>887</v>
      </c>
      <c r="T216">
        <v>491</v>
      </c>
    </row>
    <row r="217" spans="15:20" x14ac:dyDescent="0.3">
      <c r="O217">
        <v>216</v>
      </c>
      <c r="P217" t="s">
        <v>168</v>
      </c>
      <c r="Q217" t="s">
        <v>34</v>
      </c>
      <c r="R217">
        <v>0</v>
      </c>
      <c r="S217">
        <v>0</v>
      </c>
      <c r="T217">
        <v>1440</v>
      </c>
    </row>
    <row r="218" spans="15:20" x14ac:dyDescent="0.3">
      <c r="O218">
        <v>217</v>
      </c>
      <c r="P218" t="s">
        <v>168</v>
      </c>
      <c r="Q218" t="s">
        <v>37</v>
      </c>
      <c r="R218">
        <v>0</v>
      </c>
      <c r="S218">
        <v>0</v>
      </c>
      <c r="T218">
        <v>1440</v>
      </c>
    </row>
    <row r="219" spans="15:20" x14ac:dyDescent="0.3">
      <c r="O219">
        <v>218</v>
      </c>
      <c r="P219" t="s">
        <v>169</v>
      </c>
      <c r="Q219" t="s">
        <v>34</v>
      </c>
      <c r="R219">
        <v>146</v>
      </c>
      <c r="S219">
        <v>883</v>
      </c>
      <c r="T219">
        <v>409</v>
      </c>
    </row>
    <row r="220" spans="15:20" x14ac:dyDescent="0.3">
      <c r="O220">
        <v>219</v>
      </c>
      <c r="P220" t="s">
        <v>169</v>
      </c>
      <c r="Q220" t="s">
        <v>37</v>
      </c>
      <c r="R220">
        <v>199</v>
      </c>
      <c r="S220">
        <v>1226</v>
      </c>
      <c r="T220">
        <v>12</v>
      </c>
    </row>
    <row r="221" spans="15:20" x14ac:dyDescent="0.3">
      <c r="O221">
        <v>220</v>
      </c>
      <c r="P221" t="s">
        <v>170</v>
      </c>
      <c r="Q221" t="s">
        <v>34</v>
      </c>
      <c r="R221">
        <v>78</v>
      </c>
      <c r="S221">
        <v>987</v>
      </c>
      <c r="T221">
        <v>373</v>
      </c>
    </row>
    <row r="222" spans="15:20" x14ac:dyDescent="0.3">
      <c r="O222">
        <v>221</v>
      </c>
      <c r="P222" t="s">
        <v>170</v>
      </c>
      <c r="Q222" t="s">
        <v>37</v>
      </c>
      <c r="R222">
        <v>145</v>
      </c>
      <c r="S222">
        <v>1244</v>
      </c>
      <c r="T222">
        <v>49</v>
      </c>
    </row>
    <row r="223" spans="15:20" x14ac:dyDescent="0.3">
      <c r="O223">
        <v>222</v>
      </c>
      <c r="P223" t="s">
        <v>171</v>
      </c>
      <c r="Q223" t="s">
        <v>34</v>
      </c>
      <c r="R223">
        <v>120</v>
      </c>
      <c r="S223">
        <v>911</v>
      </c>
      <c r="T223">
        <v>407</v>
      </c>
    </row>
    <row r="224" spans="15:20" x14ac:dyDescent="0.3">
      <c r="O224">
        <v>223</v>
      </c>
      <c r="P224" t="s">
        <v>171</v>
      </c>
      <c r="Q224" t="s">
        <v>37</v>
      </c>
      <c r="R224">
        <v>101</v>
      </c>
      <c r="S224">
        <v>1186</v>
      </c>
      <c r="T224">
        <v>151</v>
      </c>
    </row>
    <row r="225" spans="15:20" x14ac:dyDescent="0.3">
      <c r="O225">
        <v>224</v>
      </c>
      <c r="P225" t="s">
        <v>172</v>
      </c>
      <c r="Q225" t="s">
        <v>34</v>
      </c>
      <c r="R225">
        <v>52</v>
      </c>
      <c r="S225">
        <v>973</v>
      </c>
      <c r="T225">
        <v>411</v>
      </c>
    </row>
    <row r="226" spans="15:20" x14ac:dyDescent="0.3">
      <c r="O226">
        <v>225</v>
      </c>
      <c r="P226" t="s">
        <v>172</v>
      </c>
      <c r="Q226" t="s">
        <v>37</v>
      </c>
      <c r="R226">
        <v>120</v>
      </c>
      <c r="S226">
        <v>1224</v>
      </c>
      <c r="T226">
        <v>95</v>
      </c>
    </row>
    <row r="227" spans="15:20" x14ac:dyDescent="0.3">
      <c r="O227">
        <v>226</v>
      </c>
      <c r="P227" t="s">
        <v>173</v>
      </c>
      <c r="Q227" t="s">
        <v>34</v>
      </c>
      <c r="R227">
        <v>130</v>
      </c>
      <c r="S227">
        <v>1069</v>
      </c>
      <c r="T227">
        <v>238</v>
      </c>
    </row>
    <row r="228" spans="15:20" x14ac:dyDescent="0.3">
      <c r="O228">
        <v>227</v>
      </c>
      <c r="P228" t="s">
        <v>173</v>
      </c>
      <c r="Q228" t="s">
        <v>37</v>
      </c>
      <c r="R228">
        <v>69</v>
      </c>
      <c r="S228">
        <v>1092</v>
      </c>
      <c r="T228">
        <v>277</v>
      </c>
    </row>
    <row r="229" spans="15:20" x14ac:dyDescent="0.3">
      <c r="O229">
        <v>228</v>
      </c>
      <c r="P229" t="s">
        <v>174</v>
      </c>
      <c r="Q229" t="s">
        <v>34</v>
      </c>
      <c r="R229">
        <v>0</v>
      </c>
      <c r="S229">
        <v>0</v>
      </c>
      <c r="T229">
        <v>1440</v>
      </c>
    </row>
    <row r="230" spans="15:20" x14ac:dyDescent="0.3">
      <c r="O230">
        <v>229</v>
      </c>
      <c r="P230" t="s">
        <v>174</v>
      </c>
      <c r="Q230" t="s">
        <v>37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175</v>
      </c>
      <c r="Q231" t="s">
        <v>34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175</v>
      </c>
      <c r="Q232" t="s">
        <v>37</v>
      </c>
      <c r="R232">
        <v>0</v>
      </c>
      <c r="S232">
        <v>0</v>
      </c>
      <c r="T232">
        <v>1440</v>
      </c>
    </row>
    <row r="233" spans="15:20" x14ac:dyDescent="0.3">
      <c r="O233">
        <v>232</v>
      </c>
      <c r="P233" t="s">
        <v>176</v>
      </c>
      <c r="Q233" t="s">
        <v>34</v>
      </c>
      <c r="R233">
        <v>103</v>
      </c>
      <c r="S233">
        <v>937</v>
      </c>
      <c r="T233">
        <v>398</v>
      </c>
    </row>
    <row r="234" spans="15:20" x14ac:dyDescent="0.3">
      <c r="O234">
        <v>233</v>
      </c>
      <c r="P234" t="s">
        <v>176</v>
      </c>
      <c r="Q234" t="s">
        <v>37</v>
      </c>
      <c r="R234">
        <v>40</v>
      </c>
      <c r="S234">
        <v>1087</v>
      </c>
      <c r="T234">
        <v>310</v>
      </c>
    </row>
    <row r="235" spans="15:20" x14ac:dyDescent="0.3">
      <c r="O235">
        <v>234</v>
      </c>
      <c r="P235" t="s">
        <v>177</v>
      </c>
      <c r="Q235" t="s">
        <v>34</v>
      </c>
      <c r="R235">
        <v>161</v>
      </c>
      <c r="S235">
        <v>877</v>
      </c>
      <c r="T235">
        <v>400</v>
      </c>
    </row>
    <row r="236" spans="15:20" x14ac:dyDescent="0.3">
      <c r="O236">
        <v>235</v>
      </c>
      <c r="P236" t="s">
        <v>177</v>
      </c>
      <c r="Q236" t="s">
        <v>37</v>
      </c>
      <c r="R236">
        <v>130</v>
      </c>
      <c r="S236">
        <v>879</v>
      </c>
      <c r="T236">
        <v>429</v>
      </c>
    </row>
    <row r="237" spans="15:20" x14ac:dyDescent="0.3">
      <c r="O237">
        <v>236</v>
      </c>
      <c r="P237" t="s">
        <v>178</v>
      </c>
      <c r="Q237" t="s">
        <v>34</v>
      </c>
      <c r="R237">
        <v>141</v>
      </c>
      <c r="S237">
        <v>898</v>
      </c>
      <c r="T237">
        <v>398</v>
      </c>
    </row>
    <row r="238" spans="15:20" x14ac:dyDescent="0.3">
      <c r="O238">
        <v>237</v>
      </c>
      <c r="P238" t="s">
        <v>178</v>
      </c>
      <c r="Q238" t="s">
        <v>37</v>
      </c>
      <c r="R238">
        <v>80</v>
      </c>
      <c r="S238">
        <v>914</v>
      </c>
      <c r="T238">
        <v>444</v>
      </c>
    </row>
    <row r="239" spans="15:20" x14ac:dyDescent="0.3">
      <c r="O239">
        <v>238</v>
      </c>
      <c r="P239" t="s">
        <v>179</v>
      </c>
      <c r="Q239" t="s">
        <v>34</v>
      </c>
      <c r="R239">
        <v>0</v>
      </c>
      <c r="S239">
        <v>0</v>
      </c>
      <c r="T239">
        <v>1440</v>
      </c>
    </row>
    <row r="240" spans="15:20" x14ac:dyDescent="0.3">
      <c r="O240">
        <v>239</v>
      </c>
      <c r="P240" t="s">
        <v>179</v>
      </c>
      <c r="Q240" t="s">
        <v>37</v>
      </c>
      <c r="R240">
        <v>0</v>
      </c>
      <c r="S240">
        <v>0</v>
      </c>
      <c r="T240">
        <v>1440</v>
      </c>
    </row>
    <row r="241" spans="15:20" x14ac:dyDescent="0.3">
      <c r="O241">
        <v>240</v>
      </c>
      <c r="P241" t="s">
        <v>180</v>
      </c>
      <c r="Q241" t="s">
        <v>34</v>
      </c>
      <c r="R241">
        <v>0</v>
      </c>
      <c r="S241">
        <v>0</v>
      </c>
      <c r="T241">
        <v>1440</v>
      </c>
    </row>
    <row r="242" spans="15:20" x14ac:dyDescent="0.3">
      <c r="O242">
        <v>241</v>
      </c>
      <c r="P242" t="s">
        <v>180</v>
      </c>
      <c r="Q242" t="s">
        <v>37</v>
      </c>
      <c r="R242">
        <v>0</v>
      </c>
      <c r="S242">
        <v>0</v>
      </c>
      <c r="T242">
        <v>1440</v>
      </c>
    </row>
    <row r="243" spans="15:20" x14ac:dyDescent="0.3">
      <c r="O243">
        <v>242</v>
      </c>
      <c r="P243" t="s">
        <v>181</v>
      </c>
      <c r="Q243" t="s">
        <v>34</v>
      </c>
      <c r="R243">
        <v>0</v>
      </c>
      <c r="S243">
        <v>0</v>
      </c>
      <c r="T243">
        <v>1440</v>
      </c>
    </row>
    <row r="244" spans="15:20" x14ac:dyDescent="0.3">
      <c r="O244">
        <v>243</v>
      </c>
      <c r="P244" t="s">
        <v>181</v>
      </c>
      <c r="Q244" t="s">
        <v>37</v>
      </c>
      <c r="R244">
        <v>0</v>
      </c>
      <c r="S244">
        <v>0</v>
      </c>
      <c r="T244">
        <v>1440</v>
      </c>
    </row>
    <row r="245" spans="15:20" x14ac:dyDescent="0.3">
      <c r="O245">
        <v>244</v>
      </c>
      <c r="P245" t="s">
        <v>182</v>
      </c>
      <c r="Q245" t="s">
        <v>34</v>
      </c>
      <c r="R245">
        <v>0</v>
      </c>
      <c r="S245">
        <v>0</v>
      </c>
      <c r="T245">
        <v>1440</v>
      </c>
    </row>
    <row r="246" spans="15:20" x14ac:dyDescent="0.3">
      <c r="O246">
        <v>245</v>
      </c>
      <c r="P246" t="s">
        <v>182</v>
      </c>
      <c r="Q246" t="s">
        <v>37</v>
      </c>
      <c r="R246">
        <v>0</v>
      </c>
      <c r="S246">
        <v>0</v>
      </c>
      <c r="T246">
        <v>1440</v>
      </c>
    </row>
    <row r="247" spans="15:20" x14ac:dyDescent="0.3">
      <c r="O247">
        <v>246</v>
      </c>
      <c r="P247" t="s">
        <v>183</v>
      </c>
      <c r="Q247" t="s">
        <v>34</v>
      </c>
      <c r="R247">
        <v>159</v>
      </c>
      <c r="S247">
        <v>883</v>
      </c>
      <c r="T247">
        <v>395</v>
      </c>
    </row>
    <row r="248" spans="15:20" x14ac:dyDescent="0.3">
      <c r="O248">
        <v>247</v>
      </c>
      <c r="P248" t="s">
        <v>183</v>
      </c>
      <c r="Q248" t="s">
        <v>37</v>
      </c>
      <c r="R248">
        <v>461</v>
      </c>
      <c r="S248">
        <v>863</v>
      </c>
      <c r="T248">
        <v>115</v>
      </c>
    </row>
    <row r="249" spans="15:20" x14ac:dyDescent="0.3">
      <c r="O249">
        <v>248</v>
      </c>
      <c r="P249" t="s">
        <v>184</v>
      </c>
      <c r="Q249" t="s">
        <v>34</v>
      </c>
      <c r="R249">
        <v>270</v>
      </c>
      <c r="S249">
        <v>960</v>
      </c>
      <c r="T249">
        <v>208</v>
      </c>
    </row>
    <row r="250" spans="15:20" x14ac:dyDescent="0.3">
      <c r="O250">
        <v>249</v>
      </c>
      <c r="P250" t="s">
        <v>184</v>
      </c>
      <c r="Q250" t="s">
        <v>37</v>
      </c>
      <c r="R250">
        <v>348</v>
      </c>
      <c r="S250">
        <v>999</v>
      </c>
      <c r="T250">
        <v>92</v>
      </c>
    </row>
    <row r="251" spans="15:20" x14ac:dyDescent="0.3">
      <c r="O251">
        <v>250</v>
      </c>
      <c r="P251" t="s">
        <v>185</v>
      </c>
      <c r="Q251" t="s">
        <v>34</v>
      </c>
      <c r="R251">
        <v>285</v>
      </c>
      <c r="S251">
        <v>954</v>
      </c>
      <c r="T251">
        <v>199</v>
      </c>
    </row>
    <row r="252" spans="15:20" x14ac:dyDescent="0.3">
      <c r="O252">
        <v>251</v>
      </c>
      <c r="P252" t="s">
        <v>185</v>
      </c>
      <c r="Q252" t="s">
        <v>37</v>
      </c>
      <c r="R252">
        <v>311</v>
      </c>
      <c r="S252">
        <v>991</v>
      </c>
      <c r="T252">
        <v>135</v>
      </c>
    </row>
    <row r="253" spans="15:20" x14ac:dyDescent="0.3">
      <c r="O253">
        <v>252</v>
      </c>
      <c r="P253" t="s">
        <v>186</v>
      </c>
      <c r="Q253" t="s">
        <v>34</v>
      </c>
      <c r="R253">
        <v>314</v>
      </c>
      <c r="S253">
        <v>926</v>
      </c>
      <c r="T253">
        <v>197</v>
      </c>
    </row>
    <row r="254" spans="15:20" x14ac:dyDescent="0.3">
      <c r="O254">
        <v>253</v>
      </c>
      <c r="P254" t="s">
        <v>186</v>
      </c>
      <c r="Q254" t="s">
        <v>37</v>
      </c>
      <c r="R254">
        <v>288</v>
      </c>
      <c r="S254">
        <v>1056</v>
      </c>
      <c r="T254">
        <v>94</v>
      </c>
    </row>
    <row r="255" spans="15:20" x14ac:dyDescent="0.3">
      <c r="O255">
        <v>254</v>
      </c>
      <c r="P255" t="s">
        <v>187</v>
      </c>
      <c r="Q255" t="s">
        <v>34</v>
      </c>
      <c r="R255">
        <v>303</v>
      </c>
      <c r="S255">
        <v>925</v>
      </c>
      <c r="T255">
        <v>210</v>
      </c>
    </row>
    <row r="256" spans="15:20" x14ac:dyDescent="0.3">
      <c r="O256">
        <v>255</v>
      </c>
      <c r="P256" t="s">
        <v>187</v>
      </c>
      <c r="Q256" t="s">
        <v>37</v>
      </c>
      <c r="R256">
        <v>297</v>
      </c>
      <c r="S256">
        <v>1130</v>
      </c>
      <c r="T256">
        <v>11</v>
      </c>
    </row>
    <row r="257" spans="15:20" x14ac:dyDescent="0.3">
      <c r="O257">
        <v>256</v>
      </c>
      <c r="P257" t="s">
        <v>188</v>
      </c>
      <c r="Q257" t="s">
        <v>34</v>
      </c>
      <c r="R257">
        <v>307</v>
      </c>
      <c r="S257">
        <v>891</v>
      </c>
      <c r="T257">
        <v>240</v>
      </c>
    </row>
    <row r="258" spans="15:20" x14ac:dyDescent="0.3">
      <c r="O258">
        <v>257</v>
      </c>
      <c r="P258" t="s">
        <v>188</v>
      </c>
      <c r="Q258" t="s">
        <v>37</v>
      </c>
      <c r="R258">
        <v>108</v>
      </c>
      <c r="S258">
        <v>831</v>
      </c>
      <c r="T258">
        <v>499</v>
      </c>
    </row>
    <row r="259" spans="15:20" x14ac:dyDescent="0.3">
      <c r="O259">
        <v>258</v>
      </c>
      <c r="P259" t="s">
        <v>189</v>
      </c>
      <c r="Q259" t="s">
        <v>34</v>
      </c>
      <c r="R259">
        <v>0</v>
      </c>
      <c r="S259">
        <v>0</v>
      </c>
      <c r="T259">
        <v>1440</v>
      </c>
    </row>
    <row r="260" spans="15:20" x14ac:dyDescent="0.3">
      <c r="O260">
        <v>259</v>
      </c>
      <c r="P260" t="s">
        <v>189</v>
      </c>
      <c r="Q260" t="s">
        <v>37</v>
      </c>
      <c r="R260">
        <v>0</v>
      </c>
      <c r="S260">
        <v>0</v>
      </c>
      <c r="T260">
        <v>1440</v>
      </c>
    </row>
    <row r="261" spans="15:20" x14ac:dyDescent="0.3">
      <c r="O261">
        <v>260</v>
      </c>
      <c r="P261" t="s">
        <v>190</v>
      </c>
      <c r="Q261" t="s">
        <v>34</v>
      </c>
      <c r="R261">
        <v>160</v>
      </c>
      <c r="S261">
        <v>889</v>
      </c>
      <c r="T261">
        <v>389</v>
      </c>
    </row>
    <row r="262" spans="15:20" x14ac:dyDescent="0.3">
      <c r="O262">
        <v>261</v>
      </c>
      <c r="P262" t="s">
        <v>190</v>
      </c>
      <c r="Q262" t="s">
        <v>37</v>
      </c>
      <c r="R262">
        <v>67</v>
      </c>
      <c r="S262">
        <v>1056</v>
      </c>
      <c r="T262">
        <v>315</v>
      </c>
    </row>
    <row r="263" spans="15:20" x14ac:dyDescent="0.3">
      <c r="O263">
        <v>262</v>
      </c>
      <c r="P263" t="s">
        <v>191</v>
      </c>
      <c r="Q263" t="s">
        <v>34</v>
      </c>
      <c r="R263">
        <v>84</v>
      </c>
      <c r="S263">
        <v>965</v>
      </c>
      <c r="T263">
        <v>388</v>
      </c>
    </row>
    <row r="264" spans="15:20" x14ac:dyDescent="0.3">
      <c r="O264">
        <v>263</v>
      </c>
      <c r="P264" t="s">
        <v>191</v>
      </c>
      <c r="Q264" t="s">
        <v>37</v>
      </c>
      <c r="R264">
        <v>56</v>
      </c>
      <c r="S264">
        <v>1069</v>
      </c>
      <c r="T264">
        <v>312</v>
      </c>
    </row>
    <row r="265" spans="15:20" x14ac:dyDescent="0.3">
      <c r="O265">
        <v>264</v>
      </c>
      <c r="P265" t="s">
        <v>192</v>
      </c>
      <c r="Q265" t="s">
        <v>34</v>
      </c>
      <c r="R265">
        <v>76</v>
      </c>
      <c r="S265">
        <v>973</v>
      </c>
      <c r="T265">
        <v>389</v>
      </c>
    </row>
    <row r="266" spans="15:20" x14ac:dyDescent="0.3">
      <c r="O266">
        <v>265</v>
      </c>
      <c r="P266" t="s">
        <v>192</v>
      </c>
      <c r="Q266" t="s">
        <v>37</v>
      </c>
      <c r="R266">
        <v>90</v>
      </c>
      <c r="S266">
        <v>1034</v>
      </c>
      <c r="T266">
        <v>314</v>
      </c>
    </row>
    <row r="267" spans="15:20" x14ac:dyDescent="0.3">
      <c r="O267">
        <v>266</v>
      </c>
      <c r="P267" t="s">
        <v>193</v>
      </c>
      <c r="Q267" t="s">
        <v>34</v>
      </c>
      <c r="R267">
        <v>96</v>
      </c>
      <c r="S267">
        <v>958</v>
      </c>
      <c r="T267">
        <v>383</v>
      </c>
    </row>
    <row r="268" spans="15:20" x14ac:dyDescent="0.3">
      <c r="O268">
        <v>267</v>
      </c>
      <c r="P268" t="s">
        <v>193</v>
      </c>
      <c r="Q268" t="s">
        <v>37</v>
      </c>
      <c r="R268">
        <v>101</v>
      </c>
      <c r="S268">
        <v>1048</v>
      </c>
      <c r="T268">
        <v>289</v>
      </c>
    </row>
    <row r="269" spans="15:20" x14ac:dyDescent="0.3">
      <c r="O269">
        <v>268</v>
      </c>
      <c r="P269" t="s">
        <v>194</v>
      </c>
      <c r="Q269" t="s">
        <v>34</v>
      </c>
      <c r="R269">
        <v>71</v>
      </c>
      <c r="S269">
        <v>969</v>
      </c>
      <c r="T269">
        <v>398</v>
      </c>
    </row>
    <row r="270" spans="15:20" x14ac:dyDescent="0.3">
      <c r="O270">
        <v>269</v>
      </c>
      <c r="P270" t="s">
        <v>194</v>
      </c>
      <c r="Q270" t="s">
        <v>37</v>
      </c>
      <c r="R270">
        <v>119</v>
      </c>
      <c r="S270">
        <v>1018</v>
      </c>
      <c r="T270">
        <v>299</v>
      </c>
    </row>
    <row r="271" spans="15:20" x14ac:dyDescent="0.3">
      <c r="O271">
        <v>270</v>
      </c>
      <c r="P271" t="s">
        <v>195</v>
      </c>
      <c r="Q271" t="s">
        <v>34</v>
      </c>
      <c r="R271">
        <v>97</v>
      </c>
      <c r="S271">
        <v>898</v>
      </c>
      <c r="T271">
        <v>442</v>
      </c>
    </row>
    <row r="272" spans="15:20" x14ac:dyDescent="0.3">
      <c r="O272">
        <v>271</v>
      </c>
      <c r="P272" t="s">
        <v>195</v>
      </c>
      <c r="Q272" t="s">
        <v>37</v>
      </c>
      <c r="R272">
        <v>68</v>
      </c>
      <c r="S272">
        <v>881</v>
      </c>
      <c r="T272">
        <v>488</v>
      </c>
    </row>
    <row r="273" spans="15:20" x14ac:dyDescent="0.3">
      <c r="O273">
        <v>272</v>
      </c>
      <c r="P273" t="s">
        <v>196</v>
      </c>
      <c r="Q273" t="s">
        <v>34</v>
      </c>
      <c r="R273">
        <v>109</v>
      </c>
      <c r="S273">
        <v>869</v>
      </c>
      <c r="T273">
        <v>459</v>
      </c>
    </row>
    <row r="274" spans="15:20" x14ac:dyDescent="0.3">
      <c r="O274">
        <v>273</v>
      </c>
      <c r="P274" t="s">
        <v>196</v>
      </c>
      <c r="Q274" t="s">
        <v>37</v>
      </c>
      <c r="R274">
        <v>0</v>
      </c>
      <c r="S274">
        <v>0</v>
      </c>
      <c r="T274">
        <v>1440</v>
      </c>
    </row>
    <row r="275" spans="15:20" x14ac:dyDescent="0.3">
      <c r="O275">
        <v>274</v>
      </c>
      <c r="P275" t="s">
        <v>197</v>
      </c>
      <c r="Q275" t="s">
        <v>34</v>
      </c>
      <c r="R275">
        <v>83</v>
      </c>
      <c r="S275">
        <v>944</v>
      </c>
      <c r="T275">
        <v>411</v>
      </c>
    </row>
    <row r="276" spans="15:20" x14ac:dyDescent="0.3">
      <c r="O276">
        <v>275</v>
      </c>
      <c r="P276" t="s">
        <v>197</v>
      </c>
      <c r="Q276" t="s">
        <v>37</v>
      </c>
      <c r="R276">
        <v>58</v>
      </c>
      <c r="S276">
        <v>1169</v>
      </c>
      <c r="T276">
        <v>211</v>
      </c>
    </row>
    <row r="277" spans="15:20" x14ac:dyDescent="0.3">
      <c r="O277">
        <v>276</v>
      </c>
      <c r="P277" t="s">
        <v>198</v>
      </c>
      <c r="Q277" t="s">
        <v>34</v>
      </c>
      <c r="R277">
        <v>112</v>
      </c>
      <c r="S277">
        <v>917</v>
      </c>
      <c r="T277">
        <v>408</v>
      </c>
    </row>
    <row r="278" spans="15:20" x14ac:dyDescent="0.3">
      <c r="O278">
        <v>277</v>
      </c>
      <c r="P278" t="s">
        <v>198</v>
      </c>
      <c r="Q278" t="s">
        <v>37</v>
      </c>
      <c r="R278">
        <v>49</v>
      </c>
      <c r="S278">
        <v>1276</v>
      </c>
      <c r="T278">
        <v>113</v>
      </c>
    </row>
    <row r="279" spans="15:20" x14ac:dyDescent="0.3">
      <c r="O279">
        <v>278</v>
      </c>
      <c r="P279" t="s">
        <v>199</v>
      </c>
      <c r="Q279" t="s">
        <v>34</v>
      </c>
      <c r="R279">
        <v>58</v>
      </c>
      <c r="S279">
        <v>1044</v>
      </c>
      <c r="T279">
        <v>335</v>
      </c>
    </row>
    <row r="280" spans="15:20" x14ac:dyDescent="0.3">
      <c r="O280">
        <v>279</v>
      </c>
      <c r="P280" t="s">
        <v>199</v>
      </c>
      <c r="Q280" t="s">
        <v>37</v>
      </c>
      <c r="R280">
        <v>50</v>
      </c>
      <c r="S280">
        <v>1139</v>
      </c>
      <c r="T280">
        <v>248</v>
      </c>
    </row>
    <row r="281" spans="15:20" x14ac:dyDescent="0.3">
      <c r="O281">
        <v>280</v>
      </c>
      <c r="P281" t="s">
        <v>200</v>
      </c>
      <c r="Q281" t="s">
        <v>34</v>
      </c>
      <c r="R281">
        <v>110</v>
      </c>
      <c r="S281">
        <v>914</v>
      </c>
      <c r="T281">
        <v>414</v>
      </c>
    </row>
    <row r="282" spans="15:20" x14ac:dyDescent="0.3">
      <c r="O282">
        <v>281</v>
      </c>
      <c r="P282" t="s">
        <v>200</v>
      </c>
      <c r="Q282" t="s">
        <v>37</v>
      </c>
      <c r="R282">
        <v>122</v>
      </c>
      <c r="S282">
        <v>1139</v>
      </c>
      <c r="T282">
        <v>178</v>
      </c>
    </row>
    <row r="283" spans="15:20" x14ac:dyDescent="0.3">
      <c r="O283">
        <v>282</v>
      </c>
      <c r="P283" t="s">
        <v>201</v>
      </c>
      <c r="Q283" t="s">
        <v>34</v>
      </c>
      <c r="R283">
        <v>128</v>
      </c>
      <c r="S283">
        <v>894</v>
      </c>
      <c r="T283">
        <v>414</v>
      </c>
    </row>
    <row r="284" spans="15:20" x14ac:dyDescent="0.3">
      <c r="O284">
        <v>283</v>
      </c>
      <c r="P284" t="s">
        <v>201</v>
      </c>
      <c r="Q284" t="s">
        <v>37</v>
      </c>
      <c r="R284">
        <v>63</v>
      </c>
      <c r="S284">
        <v>1214</v>
      </c>
      <c r="T284">
        <v>160</v>
      </c>
    </row>
    <row r="285" spans="15:20" x14ac:dyDescent="0.3">
      <c r="O285">
        <v>284</v>
      </c>
      <c r="P285" t="s">
        <v>202</v>
      </c>
      <c r="Q285" t="s">
        <v>34</v>
      </c>
      <c r="R285">
        <v>152</v>
      </c>
      <c r="S285">
        <v>824</v>
      </c>
      <c r="T285">
        <v>461</v>
      </c>
    </row>
    <row r="286" spans="15:20" x14ac:dyDescent="0.3">
      <c r="O286">
        <v>285</v>
      </c>
      <c r="P286" t="s">
        <v>202</v>
      </c>
      <c r="Q286" t="s">
        <v>37</v>
      </c>
      <c r="R286">
        <v>114</v>
      </c>
      <c r="S286">
        <v>1022</v>
      </c>
      <c r="T286">
        <v>302</v>
      </c>
    </row>
    <row r="287" spans="15:20" x14ac:dyDescent="0.3">
      <c r="O287">
        <v>286</v>
      </c>
      <c r="P287" t="s">
        <v>203</v>
      </c>
      <c r="Q287" t="s">
        <v>34</v>
      </c>
      <c r="R287">
        <v>88</v>
      </c>
      <c r="S287">
        <v>868</v>
      </c>
      <c r="T287">
        <v>481</v>
      </c>
    </row>
    <row r="288" spans="15:20" x14ac:dyDescent="0.3">
      <c r="O288">
        <v>287</v>
      </c>
      <c r="P288" t="s">
        <v>203</v>
      </c>
      <c r="Q288" t="s">
        <v>37</v>
      </c>
      <c r="R288">
        <v>0</v>
      </c>
      <c r="S288">
        <v>43</v>
      </c>
      <c r="T288">
        <v>1396</v>
      </c>
    </row>
    <row r="289" spans="15:20" x14ac:dyDescent="0.3">
      <c r="O289">
        <v>288</v>
      </c>
      <c r="P289" t="s">
        <v>204</v>
      </c>
      <c r="Q289" t="s">
        <v>34</v>
      </c>
      <c r="R289">
        <v>51</v>
      </c>
      <c r="S289">
        <v>990</v>
      </c>
      <c r="T289">
        <v>396</v>
      </c>
    </row>
    <row r="290" spans="15:20" x14ac:dyDescent="0.3">
      <c r="O290">
        <v>289</v>
      </c>
      <c r="P290" t="s">
        <v>204</v>
      </c>
      <c r="Q290" t="s">
        <v>37</v>
      </c>
      <c r="R290">
        <v>157</v>
      </c>
      <c r="S290">
        <v>989</v>
      </c>
      <c r="T290">
        <v>292</v>
      </c>
    </row>
    <row r="291" spans="15:20" x14ac:dyDescent="0.3">
      <c r="O291">
        <v>290</v>
      </c>
      <c r="P291" t="s">
        <v>205</v>
      </c>
      <c r="Q291" t="s">
        <v>34</v>
      </c>
      <c r="R291">
        <v>84</v>
      </c>
      <c r="S291">
        <v>960</v>
      </c>
      <c r="T291">
        <v>395</v>
      </c>
    </row>
    <row r="292" spans="15:20" x14ac:dyDescent="0.3">
      <c r="O292">
        <v>291</v>
      </c>
      <c r="P292" t="s">
        <v>205</v>
      </c>
      <c r="Q292" t="s">
        <v>37</v>
      </c>
      <c r="R292">
        <v>87</v>
      </c>
      <c r="S292">
        <v>1036</v>
      </c>
      <c r="T292">
        <v>315</v>
      </c>
    </row>
    <row r="293" spans="15:20" x14ac:dyDescent="0.3">
      <c r="O293">
        <v>292</v>
      </c>
      <c r="P293" t="s">
        <v>206</v>
      </c>
      <c r="Q293" t="s">
        <v>34</v>
      </c>
      <c r="R293">
        <v>46</v>
      </c>
      <c r="S293">
        <v>997</v>
      </c>
      <c r="T293">
        <v>395</v>
      </c>
    </row>
    <row r="294" spans="15:20" x14ac:dyDescent="0.3">
      <c r="O294">
        <v>293</v>
      </c>
      <c r="P294" t="s">
        <v>206</v>
      </c>
      <c r="Q294" t="s">
        <v>37</v>
      </c>
      <c r="R294">
        <v>110</v>
      </c>
      <c r="S294">
        <v>1065</v>
      </c>
      <c r="T294">
        <v>263</v>
      </c>
    </row>
    <row r="295" spans="15:20" x14ac:dyDescent="0.3">
      <c r="O295">
        <v>294</v>
      </c>
      <c r="P295" t="s">
        <v>207</v>
      </c>
      <c r="Q295" t="s">
        <v>34</v>
      </c>
      <c r="R295">
        <v>49</v>
      </c>
      <c r="S295">
        <v>994</v>
      </c>
      <c r="T295">
        <v>393</v>
      </c>
    </row>
    <row r="296" spans="15:20" x14ac:dyDescent="0.3">
      <c r="O296">
        <v>295</v>
      </c>
      <c r="P296" t="s">
        <v>207</v>
      </c>
      <c r="Q296" t="s">
        <v>37</v>
      </c>
      <c r="R296">
        <v>130</v>
      </c>
      <c r="S296">
        <v>1151</v>
      </c>
      <c r="T296">
        <v>157</v>
      </c>
    </row>
    <row r="297" spans="15:20" x14ac:dyDescent="0.3">
      <c r="O297">
        <v>296</v>
      </c>
      <c r="P297" t="s">
        <v>208</v>
      </c>
      <c r="Q297" t="s">
        <v>34</v>
      </c>
      <c r="R297">
        <v>66</v>
      </c>
      <c r="S297">
        <v>1128</v>
      </c>
      <c r="T297">
        <v>245</v>
      </c>
    </row>
    <row r="298" spans="15:20" x14ac:dyDescent="0.3">
      <c r="O298">
        <v>297</v>
      </c>
      <c r="P298" t="s">
        <v>208</v>
      </c>
      <c r="Q298" t="s">
        <v>37</v>
      </c>
      <c r="R298">
        <v>61</v>
      </c>
      <c r="S298">
        <v>1058</v>
      </c>
      <c r="T298">
        <v>319</v>
      </c>
    </row>
    <row r="299" spans="15:20" x14ac:dyDescent="0.3">
      <c r="O299">
        <v>298</v>
      </c>
      <c r="P299" t="s">
        <v>209</v>
      </c>
      <c r="Q299" t="s">
        <v>34</v>
      </c>
      <c r="R299">
        <v>0</v>
      </c>
      <c r="S299">
        <v>0</v>
      </c>
      <c r="T299">
        <v>1440</v>
      </c>
    </row>
    <row r="300" spans="15:20" x14ac:dyDescent="0.3">
      <c r="O300">
        <v>299</v>
      </c>
      <c r="P300" t="s">
        <v>209</v>
      </c>
      <c r="Q300" t="s">
        <v>37</v>
      </c>
      <c r="R300">
        <v>0</v>
      </c>
      <c r="S300">
        <v>0</v>
      </c>
      <c r="T300">
        <v>1440</v>
      </c>
    </row>
    <row r="301" spans="15:20" x14ac:dyDescent="0.3">
      <c r="O301">
        <v>300</v>
      </c>
      <c r="P301" t="s">
        <v>210</v>
      </c>
      <c r="Q301" t="s">
        <v>34</v>
      </c>
      <c r="R301">
        <v>0</v>
      </c>
      <c r="S301">
        <v>0</v>
      </c>
      <c r="T301">
        <v>1402</v>
      </c>
    </row>
    <row r="302" spans="15:20" x14ac:dyDescent="0.3">
      <c r="O302">
        <v>301</v>
      </c>
      <c r="P302" t="s">
        <v>210</v>
      </c>
      <c r="Q302" t="s">
        <v>37</v>
      </c>
      <c r="R302">
        <v>0</v>
      </c>
      <c r="S302">
        <v>0</v>
      </c>
      <c r="T302">
        <v>1440</v>
      </c>
    </row>
    <row r="303" spans="15:20" x14ac:dyDescent="0.3">
      <c r="O303">
        <v>302</v>
      </c>
      <c r="P303" t="s">
        <v>33</v>
      </c>
      <c r="Q303" t="s">
        <v>34</v>
      </c>
      <c r="R303">
        <v>54</v>
      </c>
      <c r="S303">
        <v>983</v>
      </c>
      <c r="T303">
        <v>401</v>
      </c>
    </row>
    <row r="304" spans="15:20" x14ac:dyDescent="0.3">
      <c r="O304">
        <v>303</v>
      </c>
      <c r="P304" t="s">
        <v>33</v>
      </c>
      <c r="Q304" t="s">
        <v>37</v>
      </c>
      <c r="R304">
        <v>23</v>
      </c>
      <c r="S304">
        <v>1203</v>
      </c>
      <c r="T304">
        <v>212</v>
      </c>
    </row>
    <row r="305" spans="15:20" x14ac:dyDescent="0.3">
      <c r="O305">
        <v>304</v>
      </c>
      <c r="P305" t="s">
        <v>39</v>
      </c>
      <c r="Q305" t="s">
        <v>34</v>
      </c>
      <c r="R305">
        <v>64</v>
      </c>
      <c r="S305">
        <v>969</v>
      </c>
      <c r="T305">
        <v>405</v>
      </c>
    </row>
    <row r="306" spans="15:20" x14ac:dyDescent="0.3">
      <c r="O306">
        <v>305</v>
      </c>
      <c r="P306" t="s">
        <v>39</v>
      </c>
      <c r="Q306" t="s">
        <v>37</v>
      </c>
      <c r="R306">
        <v>33</v>
      </c>
      <c r="S306">
        <v>1166</v>
      </c>
      <c r="T306">
        <v>237</v>
      </c>
    </row>
    <row r="307" spans="15:20" x14ac:dyDescent="0.3">
      <c r="O307">
        <v>306</v>
      </c>
      <c r="P307" t="s">
        <v>43</v>
      </c>
      <c r="Q307" t="s">
        <v>34</v>
      </c>
      <c r="R307">
        <v>54</v>
      </c>
      <c r="S307">
        <v>974</v>
      </c>
      <c r="T307">
        <v>410</v>
      </c>
    </row>
    <row r="308" spans="15:20" x14ac:dyDescent="0.3">
      <c r="O308">
        <v>307</v>
      </c>
      <c r="P308" t="s">
        <v>43</v>
      </c>
      <c r="Q308" t="s">
        <v>37</v>
      </c>
      <c r="R308">
        <v>49</v>
      </c>
      <c r="S308">
        <v>1135</v>
      </c>
      <c r="T308">
        <v>254</v>
      </c>
    </row>
    <row r="309" spans="15:20" x14ac:dyDescent="0.3">
      <c r="O309">
        <v>308</v>
      </c>
      <c r="P309" t="s">
        <v>48</v>
      </c>
      <c r="Q309" t="s">
        <v>34</v>
      </c>
      <c r="R309">
        <v>56</v>
      </c>
      <c r="S309">
        <v>989</v>
      </c>
      <c r="T309">
        <v>394</v>
      </c>
    </row>
    <row r="310" spans="15:20" x14ac:dyDescent="0.3">
      <c r="O310">
        <v>309</v>
      </c>
      <c r="P310" t="s">
        <v>48</v>
      </c>
      <c r="Q310" t="s">
        <v>37</v>
      </c>
      <c r="R310">
        <v>64</v>
      </c>
      <c r="S310">
        <v>1125</v>
      </c>
      <c r="T310">
        <v>248</v>
      </c>
    </row>
    <row r="311" spans="15:20" x14ac:dyDescent="0.3">
      <c r="O311">
        <v>310</v>
      </c>
      <c r="P311" t="s">
        <v>52</v>
      </c>
      <c r="Q311" t="s">
        <v>34</v>
      </c>
      <c r="R311">
        <v>81</v>
      </c>
      <c r="S311">
        <v>962</v>
      </c>
      <c r="T311">
        <v>394</v>
      </c>
    </row>
    <row r="312" spans="15:20" x14ac:dyDescent="0.3">
      <c r="O312">
        <v>311</v>
      </c>
      <c r="P312" t="s">
        <v>52</v>
      </c>
      <c r="Q312" t="s">
        <v>37</v>
      </c>
      <c r="R312">
        <v>98</v>
      </c>
      <c r="S312">
        <v>1082</v>
      </c>
      <c r="T312">
        <v>258</v>
      </c>
    </row>
    <row r="313" spans="15:20" x14ac:dyDescent="0.3">
      <c r="O313">
        <v>312</v>
      </c>
      <c r="P313" t="s">
        <v>56</v>
      </c>
      <c r="Q313" t="s">
        <v>34</v>
      </c>
      <c r="R313">
        <v>111</v>
      </c>
      <c r="S313">
        <v>870</v>
      </c>
      <c r="T313">
        <v>456</v>
      </c>
    </row>
    <row r="314" spans="15:20" x14ac:dyDescent="0.3">
      <c r="O314">
        <v>313</v>
      </c>
      <c r="P314" t="s">
        <v>56</v>
      </c>
      <c r="Q314" t="s">
        <v>37</v>
      </c>
      <c r="R314">
        <v>60</v>
      </c>
      <c r="S314">
        <v>948</v>
      </c>
      <c r="T314">
        <v>429</v>
      </c>
    </row>
    <row r="315" spans="15:20" x14ac:dyDescent="0.3">
      <c r="O315">
        <v>314</v>
      </c>
      <c r="P315" t="s">
        <v>60</v>
      </c>
      <c r="Q315" t="s">
        <v>34</v>
      </c>
      <c r="R315">
        <v>145</v>
      </c>
      <c r="S315">
        <v>814</v>
      </c>
      <c r="T315">
        <v>477</v>
      </c>
    </row>
    <row r="316" spans="15:20" x14ac:dyDescent="0.3">
      <c r="O316">
        <v>315</v>
      </c>
      <c r="P316" t="s">
        <v>60</v>
      </c>
      <c r="Q316" t="s">
        <v>37</v>
      </c>
      <c r="R316">
        <v>0</v>
      </c>
      <c r="S316">
        <v>0</v>
      </c>
      <c r="T316">
        <v>1440</v>
      </c>
    </row>
    <row r="317" spans="15:20" x14ac:dyDescent="0.3">
      <c r="O317">
        <v>316</v>
      </c>
      <c r="P317" t="s">
        <v>62</v>
      </c>
      <c r="Q317" t="s">
        <v>34</v>
      </c>
      <c r="R317">
        <v>64</v>
      </c>
      <c r="S317">
        <v>978</v>
      </c>
      <c r="T317">
        <v>396</v>
      </c>
    </row>
    <row r="318" spans="15:20" x14ac:dyDescent="0.3">
      <c r="O318">
        <v>317</v>
      </c>
      <c r="P318" t="s">
        <v>62</v>
      </c>
      <c r="Q318" t="s">
        <v>37</v>
      </c>
      <c r="R318">
        <v>90</v>
      </c>
      <c r="S318">
        <v>1035</v>
      </c>
      <c r="T318">
        <v>312</v>
      </c>
    </row>
    <row r="319" spans="15:20" x14ac:dyDescent="0.3">
      <c r="O319">
        <v>318</v>
      </c>
      <c r="P319" t="s">
        <v>64</v>
      </c>
      <c r="Q319" t="s">
        <v>34</v>
      </c>
      <c r="R319">
        <v>65</v>
      </c>
      <c r="S319">
        <v>977</v>
      </c>
      <c r="T319">
        <v>396</v>
      </c>
    </row>
    <row r="320" spans="15:20" x14ac:dyDescent="0.3">
      <c r="O320">
        <v>319</v>
      </c>
      <c r="P320" t="s">
        <v>64</v>
      </c>
      <c r="Q320" t="s">
        <v>37</v>
      </c>
      <c r="R320">
        <v>54</v>
      </c>
      <c r="S320">
        <v>1067</v>
      </c>
      <c r="T320">
        <v>317</v>
      </c>
    </row>
    <row r="321" spans="15:20" x14ac:dyDescent="0.3">
      <c r="O321">
        <v>320</v>
      </c>
      <c r="P321" t="s">
        <v>66</v>
      </c>
      <c r="Q321" t="s">
        <v>34</v>
      </c>
      <c r="R321">
        <v>109</v>
      </c>
      <c r="S321">
        <v>947</v>
      </c>
      <c r="T321">
        <v>382</v>
      </c>
    </row>
    <row r="322" spans="15:20" x14ac:dyDescent="0.3">
      <c r="O322">
        <v>321</v>
      </c>
      <c r="P322" t="s">
        <v>66</v>
      </c>
      <c r="Q322" t="s">
        <v>37</v>
      </c>
      <c r="R322">
        <v>143</v>
      </c>
      <c r="S322">
        <v>1061</v>
      </c>
      <c r="T322">
        <v>233</v>
      </c>
    </row>
    <row r="323" spans="15:20" x14ac:dyDescent="0.3">
      <c r="O323">
        <v>322</v>
      </c>
      <c r="P323" t="s">
        <v>68</v>
      </c>
      <c r="Q323" t="s">
        <v>34</v>
      </c>
      <c r="R323">
        <v>87</v>
      </c>
      <c r="S323">
        <v>962</v>
      </c>
      <c r="T323">
        <v>388</v>
      </c>
    </row>
    <row r="324" spans="15:20" x14ac:dyDescent="0.3">
      <c r="O324">
        <v>323</v>
      </c>
      <c r="P324" t="s">
        <v>68</v>
      </c>
      <c r="Q324" t="s">
        <v>37</v>
      </c>
      <c r="R324">
        <v>51</v>
      </c>
      <c r="S324">
        <v>1283</v>
      </c>
      <c r="T324">
        <v>104</v>
      </c>
    </row>
    <row r="325" spans="15:20" x14ac:dyDescent="0.3">
      <c r="O325">
        <v>324</v>
      </c>
      <c r="P325" t="s">
        <v>70</v>
      </c>
      <c r="Q325" t="s">
        <v>34</v>
      </c>
      <c r="R325">
        <v>118</v>
      </c>
      <c r="S325">
        <v>1124</v>
      </c>
      <c r="T325">
        <v>197</v>
      </c>
    </row>
    <row r="326" spans="15:20" x14ac:dyDescent="0.3">
      <c r="O326">
        <v>325</v>
      </c>
      <c r="P326" t="s">
        <v>70</v>
      </c>
      <c r="Q326" t="s">
        <v>37</v>
      </c>
      <c r="R326">
        <v>84</v>
      </c>
      <c r="S326">
        <v>1039</v>
      </c>
      <c r="T326">
        <v>315</v>
      </c>
    </row>
    <row r="327" spans="15:20" x14ac:dyDescent="0.3">
      <c r="O327">
        <v>326</v>
      </c>
      <c r="P327" t="s">
        <v>72</v>
      </c>
      <c r="Q327" t="s">
        <v>34</v>
      </c>
      <c r="R327">
        <v>112</v>
      </c>
      <c r="S327">
        <v>877</v>
      </c>
      <c r="T327">
        <v>450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326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318</v>
      </c>
      <c r="E2">
        <v>715</v>
      </c>
      <c r="F2">
        <v>402</v>
      </c>
      <c r="H2" t="s">
        <v>35</v>
      </c>
      <c r="I2" s="1">
        <v>0.67764705882352938</v>
      </c>
      <c r="J2" s="1">
        <v>0.66228070175438591</v>
      </c>
      <c r="K2" s="1">
        <f>IFERROR(SUMIFS(S:S,P:P,"*/01/2026")/(SUMIFS(R:R,P:P,"*/01/2026")+SUMIFS(S:S,P:P,"*/01/2026")+SUMIFS(T:T,P:P,"*/01/2026")),"")</f>
        <v>0.40024170139712445</v>
      </c>
      <c r="L2" s="1">
        <f>IFERROR(SUMIFS(R:R,P:P,"*/01/2026")/(SUMIFS(R:R,P:P,"*/01/2026")+SUMIFS(S:S,P:P,"*/01/2026")+SUMIFS(T:T,P:P,"*/01/2026")),"")</f>
        <v>0.19633156010345723</v>
      </c>
      <c r="M2" s="1">
        <f>IFERROR(SUMIFS(T:T,P:P,"*/01/2026")/(SUMIFS(R:R,P:P,"*/01/2026")+SUMIFS(S:S,P:P,"*/01/2026")+SUMIFS(T:T,P:P,"*/01/2026")),"")</f>
        <v>0.40342673849941835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1441</v>
      </c>
    </row>
    <row r="3" spans="1:20" x14ac:dyDescent="0.3">
      <c r="A3">
        <v>2</v>
      </c>
      <c r="B3" t="s">
        <v>33</v>
      </c>
      <c r="C3" t="s">
        <v>37</v>
      </c>
      <c r="D3">
        <v>308</v>
      </c>
      <c r="E3">
        <v>809</v>
      </c>
      <c r="F3">
        <v>321</v>
      </c>
      <c r="H3" t="s">
        <v>38</v>
      </c>
      <c r="I3" s="1">
        <v>0.67764705882352938</v>
      </c>
      <c r="J3" s="1">
        <v>0.66228070175438591</v>
      </c>
      <c r="K3" s="1">
        <f>IFERROR(SUMIFS(S:S,P:P,"*/02/2026")/(SUMIFS(R:R,P:P,"*/02/2026")+SUMIFS(S:S,P:P,"*/02/2026")+SUMIFS(T:T,P:P,"*/02/2026")),"")</f>
        <v>0.30793879477370956</v>
      </c>
      <c r="L3" s="1">
        <f>IFERROR(SUMIFS(R:R,P:P,"*/02/2026")/(SUMIFS(R:R,P:P,"*/02/2026")+SUMIFS(S:S,P:P,"*/02/2026")+SUMIFS(T:T,P:P,"*/02/2026")),"")</f>
        <v>0.1315887525460778</v>
      </c>
      <c r="M3" s="1">
        <f>IFERROR(SUMIFS(T:T,P:P,"*/02/2026")/(SUMIFS(R:R,P:P,"*/02/2026")+SUMIFS(S:S,P:P,"*/02/2026")+SUMIFS(T:T,P:P,"*/02/2026")),"")</f>
        <v>0.56047245268021262</v>
      </c>
      <c r="O3">
        <v>2</v>
      </c>
      <c r="P3" t="s">
        <v>36</v>
      </c>
      <c r="Q3" t="s">
        <v>37</v>
      </c>
      <c r="R3">
        <v>75</v>
      </c>
      <c r="S3">
        <v>69</v>
      </c>
      <c r="T3">
        <v>1293</v>
      </c>
    </row>
    <row r="4" spans="1:20" x14ac:dyDescent="0.3">
      <c r="A4">
        <v>3</v>
      </c>
      <c r="B4" t="s">
        <v>39</v>
      </c>
      <c r="C4" t="s">
        <v>34</v>
      </c>
      <c r="D4">
        <v>383</v>
      </c>
      <c r="E4">
        <v>648</v>
      </c>
      <c r="F4">
        <v>405</v>
      </c>
      <c r="H4" t="s">
        <v>40</v>
      </c>
      <c r="I4" s="1">
        <v>0.67764705882352938</v>
      </c>
      <c r="J4" s="1">
        <v>0.66228070175438591</v>
      </c>
      <c r="K4" s="1">
        <f>IFERROR(SUMIFS(S:S,P:P,"*/03/2026")/(SUMIFS(R:R,P:P,"*/03/2026")+SUMIFS(S:S,P:P,"*/03/2026")+SUMIFS(T:T,P:P,"*/03/2026")),"")</f>
        <v>0.41276459999544285</v>
      </c>
      <c r="L4" s="1">
        <f>IFERROR(SUMIFS(R:R,P:P,"*/03/2026")/(SUMIFS(R:R,P:P,"*/03/2026")+SUMIFS(S:S,P:P,"*/03/2026")+SUMIFS(T:T,P:P,"*/03/2026")),"")</f>
        <v>0.18602319593501493</v>
      </c>
      <c r="M4" s="1">
        <f>IFERROR(SUMIFS(T:T,P:P,"*/03/2026")/(SUMIFS(R:R,P:P,"*/03/2026")+SUMIFS(S:S,P:P,"*/03/2026")+SUMIFS(T:T,P:P,"*/03/2026")),"")</f>
        <v>0.40121220406954222</v>
      </c>
      <c r="O4">
        <v>3</v>
      </c>
      <c r="P4" t="s">
        <v>41</v>
      </c>
      <c r="Q4" t="s">
        <v>34</v>
      </c>
      <c r="R4">
        <v>375</v>
      </c>
      <c r="S4">
        <v>1061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338</v>
      </c>
      <c r="E5">
        <v>782</v>
      </c>
      <c r="F5">
        <v>315</v>
      </c>
      <c r="H5" t="s">
        <v>42</v>
      </c>
      <c r="I5" s="1">
        <v>0.67764705882352938</v>
      </c>
      <c r="J5" s="1">
        <v>0.66228070175438591</v>
      </c>
      <c r="K5" s="1">
        <f>IFERROR(SUMIFS(S:S,P:P,"*/04/2026")/(SUMIFS(R:R,P:P,"*/04/2026")+SUMIFS(S:S,P:P,"*/04/2026")+SUMIFS(T:T,P:P,"*/04/2026")),"")</f>
        <v>0.41388228472020877</v>
      </c>
      <c r="L5" s="1">
        <f>IFERROR(SUMIFS(R:R,P:P,"*/04/2026")/(SUMIFS(R:R,P:P,"*/04/2026")+SUMIFS(S:S,P:P,"*/04/2026")+SUMIFS(T:T,P:P,"*/04/2026")),"")</f>
        <v>0.19083792403595246</v>
      </c>
      <c r="M5" s="1">
        <f>IFERROR(SUMIFS(T:T,P:P,"*/04/2026")/(SUMIFS(R:R,P:P,"*/04/2026")+SUMIFS(S:S,P:P,"*/04/2026")+SUMIFS(T:T,P:P,"*/04/2026")),"")</f>
        <v>0.39527979124383877</v>
      </c>
      <c r="O5">
        <v>4</v>
      </c>
      <c r="P5" t="s">
        <v>41</v>
      </c>
      <c r="Q5" t="s">
        <v>37</v>
      </c>
      <c r="R5">
        <v>203</v>
      </c>
      <c r="S5">
        <v>513</v>
      </c>
      <c r="T5">
        <v>721</v>
      </c>
    </row>
    <row r="6" spans="1:20" x14ac:dyDescent="0.3">
      <c r="A6">
        <v>5</v>
      </c>
      <c r="B6" t="s">
        <v>43</v>
      </c>
      <c r="C6" t="s">
        <v>34</v>
      </c>
      <c r="D6">
        <v>338</v>
      </c>
      <c r="E6">
        <v>696</v>
      </c>
      <c r="F6">
        <v>402</v>
      </c>
      <c r="H6" t="s">
        <v>44</v>
      </c>
      <c r="I6" s="1">
        <v>0.67764705882352938</v>
      </c>
      <c r="J6" s="1">
        <v>0.66228070175438591</v>
      </c>
      <c r="K6" s="1">
        <f>IFERROR(SUMIFS(S:S,P:P,"*/05/2026")/(SUMIFS(R:R,P:P,"*/05/2026")+SUMIFS(S:S,P:P,"*/05/2026")+SUMIFS(T:T,P:P,"*/05/2026")),"")</f>
        <v>0.36581177394915537</v>
      </c>
      <c r="L6" s="1">
        <f>IFERROR(SUMIFS(R:R,P:P,"*/05/2026")/(SUMIFS(R:R,P:P,"*/05/2026")+SUMIFS(S:S,P:P,"*/05/2026")+SUMIFS(T:T,P:P,"*/05/2026")),"")</f>
        <v>0.19323194343116898</v>
      </c>
      <c r="M6" s="1">
        <f>IFERROR(SUMIFS(T:T,P:P,"*/05/2026")/(SUMIFS(R:R,P:P,"*/05/2026")+SUMIFS(S:S,P:P,"*/05/2026")+SUMIFS(T:T,P:P,"*/05/2026")),"")</f>
        <v>0.44095628261967562</v>
      </c>
      <c r="O6">
        <v>5</v>
      </c>
      <c r="P6" t="s">
        <v>45</v>
      </c>
      <c r="Q6" t="s">
        <v>37</v>
      </c>
      <c r="R6">
        <v>531</v>
      </c>
      <c r="S6">
        <v>1474</v>
      </c>
      <c r="T6">
        <v>330</v>
      </c>
    </row>
    <row r="7" spans="1:20" x14ac:dyDescent="0.3">
      <c r="A7">
        <v>6</v>
      </c>
      <c r="B7" t="s">
        <v>43</v>
      </c>
      <c r="C7" t="s">
        <v>37</v>
      </c>
      <c r="D7">
        <v>345</v>
      </c>
      <c r="E7">
        <v>765</v>
      </c>
      <c r="F7">
        <v>326</v>
      </c>
      <c r="H7" t="s">
        <v>46</v>
      </c>
      <c r="I7" s="1">
        <v>0.67764705882352938</v>
      </c>
      <c r="J7" s="1">
        <v>0.66228070175438591</v>
      </c>
      <c r="K7" s="1">
        <f>IFERROR(SUMIFS(S:S,P:P,"*/06/2026")/(SUMIFS(R:R,P:P,"*/06/2026")+SUMIFS(S:S,P:P,"*/06/2026")+SUMIFS(T:T,P:P,"*/06/2026")),"")</f>
        <v>0.49192470483403877</v>
      </c>
      <c r="L7" s="1">
        <f>IFERROR(SUMIFS(R:R,P:P,"*/06/2026")/(SUMIFS(R:R,P:P,"*/06/2026")+SUMIFS(S:S,P:P,"*/06/2026")+SUMIFS(T:T,P:P,"*/06/2026")),"")</f>
        <v>0.18901759857429271</v>
      </c>
      <c r="M7" s="1">
        <f>IFERROR(SUMIFS(T:T,P:P,"*/06/2026")/(SUMIFS(R:R,P:P,"*/06/2026")+SUMIFS(S:S,P:P,"*/06/2026")+SUMIFS(T:T,P:P,"*/06/2026")),"")</f>
        <v>0.31905769659166855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228</v>
      </c>
      <c r="E8">
        <v>807</v>
      </c>
      <c r="F8">
        <v>401</v>
      </c>
      <c r="H8" t="s">
        <v>49</v>
      </c>
      <c r="I8" s="1">
        <v>0.67764705882352938</v>
      </c>
      <c r="J8" s="1">
        <v>0.66228070175438591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273</v>
      </c>
      <c r="E9">
        <v>843</v>
      </c>
      <c r="F9">
        <v>320</v>
      </c>
      <c r="H9" t="s">
        <v>50</v>
      </c>
      <c r="I9" s="1">
        <v>0.67764705882352938</v>
      </c>
      <c r="J9" s="1">
        <v>0.66228070175438591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324</v>
      </c>
      <c r="S9">
        <v>718</v>
      </c>
      <c r="T9">
        <v>394</v>
      </c>
    </row>
    <row r="10" spans="1:20" x14ac:dyDescent="0.3">
      <c r="A10">
        <v>9</v>
      </c>
      <c r="B10" t="s">
        <v>52</v>
      </c>
      <c r="C10" t="s">
        <v>34</v>
      </c>
      <c r="D10">
        <v>211</v>
      </c>
      <c r="E10">
        <v>822</v>
      </c>
      <c r="F10">
        <v>403</v>
      </c>
      <c r="H10" t="s">
        <v>53</v>
      </c>
      <c r="I10" s="1">
        <v>0.67764705882352938</v>
      </c>
      <c r="J10" s="1">
        <v>0.66228070175438591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361</v>
      </c>
      <c r="S10">
        <v>758</v>
      </c>
      <c r="T10">
        <v>302</v>
      </c>
    </row>
    <row r="11" spans="1:20" x14ac:dyDescent="0.3">
      <c r="A11">
        <v>10</v>
      </c>
      <c r="B11" t="s">
        <v>52</v>
      </c>
      <c r="C11" t="s">
        <v>37</v>
      </c>
      <c r="D11">
        <v>324</v>
      </c>
      <c r="E11">
        <v>792</v>
      </c>
      <c r="F11">
        <v>320</v>
      </c>
      <c r="H11" t="s">
        <v>54</v>
      </c>
      <c r="I11" s="1">
        <v>0.67764705882352938</v>
      </c>
      <c r="J11" s="1">
        <v>0.66228070175438591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382</v>
      </c>
      <c r="S11">
        <v>638</v>
      </c>
      <c r="T11">
        <v>416</v>
      </c>
    </row>
    <row r="12" spans="1:20" x14ac:dyDescent="0.3">
      <c r="A12">
        <v>11</v>
      </c>
      <c r="B12" t="s">
        <v>56</v>
      </c>
      <c r="C12" t="s">
        <v>34</v>
      </c>
      <c r="D12">
        <v>290</v>
      </c>
      <c r="E12">
        <v>687</v>
      </c>
      <c r="F12">
        <v>460</v>
      </c>
      <c r="H12" t="s">
        <v>57</v>
      </c>
      <c r="I12" s="1">
        <v>0.67764705882352938</v>
      </c>
      <c r="J12" s="1">
        <v>0.66228070175438591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422</v>
      </c>
      <c r="S12">
        <v>710</v>
      </c>
      <c r="T12">
        <v>305</v>
      </c>
    </row>
    <row r="13" spans="1:20" x14ac:dyDescent="0.3">
      <c r="A13">
        <v>12</v>
      </c>
      <c r="B13" t="s">
        <v>56</v>
      </c>
      <c r="C13" t="s">
        <v>37</v>
      </c>
      <c r="D13">
        <v>265</v>
      </c>
      <c r="E13">
        <v>667</v>
      </c>
      <c r="F13">
        <v>503</v>
      </c>
      <c r="H13" t="s">
        <v>58</v>
      </c>
      <c r="I13" s="1">
        <v>0.67764705882352938</v>
      </c>
      <c r="J13" s="1">
        <v>0.66228070175438591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105</v>
      </c>
      <c r="S13">
        <v>151</v>
      </c>
      <c r="T13">
        <v>1181</v>
      </c>
    </row>
    <row r="14" spans="1:20" x14ac:dyDescent="0.3">
      <c r="A14">
        <v>13</v>
      </c>
      <c r="B14" t="s">
        <v>60</v>
      </c>
      <c r="C14" t="s">
        <v>34</v>
      </c>
      <c r="D14">
        <v>0</v>
      </c>
      <c r="E14">
        <v>0</v>
      </c>
      <c r="F14">
        <v>1440</v>
      </c>
      <c r="H14" t="str">
        <f>IF(B2="","",TEXT(B2,"dd/mm")&amp; "-" &amp;IF(UPPER(TRIM(C2))="CN",1,IF(UPPER(TRIM(C2))="CD",2,"")))</f>
        <v>01/06-1</v>
      </c>
      <c r="I14" s="1">
        <v>0.67764705882352938</v>
      </c>
      <c r="J14" s="1">
        <v>0.66228070175438591</v>
      </c>
      <c r="K14" s="1">
        <f t="shared" ref="K14:K45" si="0">IFERROR($E2/SUM($D2:$F2),"")</f>
        <v>0.49825783972125437</v>
      </c>
      <c r="L14" s="1">
        <f t="shared" ref="L14:L45" si="1">IFERROR($D2/SUM($D2:$F2),"")</f>
        <v>0.22160278745644599</v>
      </c>
      <c r="M14" s="1">
        <f t="shared" ref="M14:M45" si="2">IFERROR($F2/SUM($D2:$F2),"")</f>
        <v>0.28013937282229967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1440</v>
      </c>
      <c r="H15" t="str">
        <f t="shared" ref="H15:H46" si="3">IF(B3="","",TEXT(B3,"dd/mm") &amp; "-" &amp; IF(UPPER(TRIM(C3))="CN",1,IF(UPPER(TRIM(C3))="CD",2,"")))</f>
        <v>01/06-2</v>
      </c>
      <c r="I15" s="1">
        <v>0.67764705882352938</v>
      </c>
      <c r="J15" s="1">
        <v>0.66228070175438591</v>
      </c>
      <c r="K15" s="1">
        <f t="shared" si="0"/>
        <v>0.56258692628650908</v>
      </c>
      <c r="L15" s="1">
        <f t="shared" si="1"/>
        <v>0.21418636995827539</v>
      </c>
      <c r="M15" s="1">
        <f t="shared" si="2"/>
        <v>0.22322670375521558</v>
      </c>
      <c r="O15">
        <v>14</v>
      </c>
      <c r="P15" t="s">
        <v>61</v>
      </c>
      <c r="Q15" t="s">
        <v>34</v>
      </c>
      <c r="R15">
        <v>306</v>
      </c>
      <c r="S15">
        <v>726</v>
      </c>
      <c r="T15">
        <v>405</v>
      </c>
    </row>
    <row r="16" spans="1:20" x14ac:dyDescent="0.3">
      <c r="A16">
        <v>15</v>
      </c>
      <c r="B16" t="s">
        <v>62</v>
      </c>
      <c r="C16" t="s">
        <v>34</v>
      </c>
      <c r="D16">
        <v>226</v>
      </c>
      <c r="E16">
        <v>803</v>
      </c>
      <c r="F16">
        <v>407</v>
      </c>
      <c r="H16" t="str">
        <f t="shared" si="3"/>
        <v>02/06-1</v>
      </c>
      <c r="I16" s="1">
        <v>0.67764705882352938</v>
      </c>
      <c r="J16" s="1">
        <v>0.66228070175438591</v>
      </c>
      <c r="K16" s="1">
        <f t="shared" si="0"/>
        <v>0.45125348189415043</v>
      </c>
      <c r="L16" s="1">
        <f t="shared" si="1"/>
        <v>0.2667130919220056</v>
      </c>
      <c r="M16" s="1">
        <f t="shared" si="2"/>
        <v>0.28203342618384403</v>
      </c>
      <c r="O16">
        <v>15</v>
      </c>
      <c r="P16" t="s">
        <v>61</v>
      </c>
      <c r="Q16" t="s">
        <v>37</v>
      </c>
      <c r="R16">
        <v>375</v>
      </c>
      <c r="S16">
        <v>751</v>
      </c>
      <c r="T16">
        <v>311</v>
      </c>
    </row>
    <row r="17" spans="1:20" x14ac:dyDescent="0.3">
      <c r="A17">
        <v>16</v>
      </c>
      <c r="B17" t="s">
        <v>62</v>
      </c>
      <c r="C17" t="s">
        <v>37</v>
      </c>
      <c r="D17">
        <v>400</v>
      </c>
      <c r="E17">
        <v>709</v>
      </c>
      <c r="F17">
        <v>326</v>
      </c>
      <c r="H17" t="str">
        <f t="shared" si="3"/>
        <v>02/06-2</v>
      </c>
      <c r="I17" s="1">
        <v>0.67764705882352938</v>
      </c>
      <c r="J17" s="1">
        <v>0.66228070175438591</v>
      </c>
      <c r="K17" s="1">
        <f t="shared" si="0"/>
        <v>0.54494773519163764</v>
      </c>
      <c r="L17" s="1">
        <f t="shared" si="1"/>
        <v>0.23554006968641114</v>
      </c>
      <c r="M17" s="1">
        <f t="shared" si="2"/>
        <v>0.21951219512195122</v>
      </c>
      <c r="O17">
        <v>16</v>
      </c>
      <c r="P17" t="s">
        <v>63</v>
      </c>
      <c r="Q17" t="s">
        <v>34</v>
      </c>
      <c r="R17">
        <v>385</v>
      </c>
      <c r="S17">
        <v>645</v>
      </c>
      <c r="T17">
        <v>405</v>
      </c>
    </row>
    <row r="18" spans="1:20" x14ac:dyDescent="0.3">
      <c r="A18">
        <v>17</v>
      </c>
      <c r="B18" t="s">
        <v>64</v>
      </c>
      <c r="C18" t="s">
        <v>34</v>
      </c>
      <c r="D18">
        <v>243</v>
      </c>
      <c r="E18">
        <v>776</v>
      </c>
      <c r="F18">
        <v>419</v>
      </c>
      <c r="H18" t="str">
        <f t="shared" si="3"/>
        <v>03/06-1</v>
      </c>
      <c r="I18" s="1">
        <v>0.67764705882352938</v>
      </c>
      <c r="J18" s="1">
        <v>0.66228070175438591</v>
      </c>
      <c r="K18" s="1">
        <f t="shared" si="0"/>
        <v>0.48467966573816157</v>
      </c>
      <c r="L18" s="1">
        <f t="shared" si="1"/>
        <v>0.23537604456824512</v>
      </c>
      <c r="M18" s="1">
        <f t="shared" si="2"/>
        <v>0.27994428969359331</v>
      </c>
      <c r="O18">
        <v>17</v>
      </c>
      <c r="P18" t="s">
        <v>63</v>
      </c>
      <c r="Q18" t="s">
        <v>37</v>
      </c>
      <c r="R18">
        <v>480</v>
      </c>
      <c r="S18">
        <v>641</v>
      </c>
      <c r="T18">
        <v>314</v>
      </c>
    </row>
    <row r="19" spans="1:20" x14ac:dyDescent="0.3">
      <c r="A19">
        <v>18</v>
      </c>
      <c r="B19" t="s">
        <v>64</v>
      </c>
      <c r="C19" t="s">
        <v>37</v>
      </c>
      <c r="D19">
        <v>219</v>
      </c>
      <c r="E19">
        <v>892</v>
      </c>
      <c r="F19">
        <v>325</v>
      </c>
      <c r="H19" t="str">
        <f t="shared" si="3"/>
        <v>03/06-2</v>
      </c>
      <c r="I19" s="1">
        <v>0.67764705882352938</v>
      </c>
      <c r="J19" s="1">
        <v>0.66228070175438591</v>
      </c>
      <c r="K19" s="1">
        <f t="shared" si="0"/>
        <v>0.53272980501392753</v>
      </c>
      <c r="L19" s="1">
        <f t="shared" si="1"/>
        <v>0.24025069637883009</v>
      </c>
      <c r="M19" s="1">
        <f t="shared" si="2"/>
        <v>0.22701949860724233</v>
      </c>
      <c r="O19">
        <v>18</v>
      </c>
      <c r="P19" t="s">
        <v>65</v>
      </c>
      <c r="Q19" t="s">
        <v>34</v>
      </c>
      <c r="R19">
        <v>375</v>
      </c>
      <c r="S19">
        <v>577</v>
      </c>
      <c r="T19">
        <v>485</v>
      </c>
    </row>
    <row r="20" spans="1:20" x14ac:dyDescent="0.3">
      <c r="A20">
        <v>19</v>
      </c>
      <c r="B20" t="s">
        <v>66</v>
      </c>
      <c r="C20" t="s">
        <v>34</v>
      </c>
      <c r="D20">
        <v>290</v>
      </c>
      <c r="E20">
        <v>740</v>
      </c>
      <c r="F20">
        <v>405</v>
      </c>
      <c r="H20" t="str">
        <f t="shared" si="3"/>
        <v>04/06-1</v>
      </c>
      <c r="I20" s="1">
        <v>0.67764705882352938</v>
      </c>
      <c r="J20" s="1">
        <v>0.66228070175438591</v>
      </c>
      <c r="K20" s="1">
        <f t="shared" si="0"/>
        <v>0.56197771587743728</v>
      </c>
      <c r="L20" s="1">
        <f t="shared" si="1"/>
        <v>0.15877437325905291</v>
      </c>
      <c r="M20" s="1">
        <f t="shared" si="2"/>
        <v>0.27924791086350975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361</v>
      </c>
      <c r="E21">
        <v>857</v>
      </c>
      <c r="F21">
        <v>219</v>
      </c>
      <c r="H21" t="str">
        <f t="shared" si="3"/>
        <v>04/06-2</v>
      </c>
      <c r="I21" s="1">
        <v>0.67764705882352938</v>
      </c>
      <c r="J21" s="1">
        <v>0.66228070175438591</v>
      </c>
      <c r="K21" s="1">
        <f t="shared" si="0"/>
        <v>0.5870473537604457</v>
      </c>
      <c r="L21" s="1">
        <f t="shared" si="1"/>
        <v>0.19011142061281336</v>
      </c>
      <c r="M21" s="1">
        <f t="shared" si="2"/>
        <v>0.22284122562674094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514</v>
      </c>
      <c r="E22">
        <v>723</v>
      </c>
      <c r="F22">
        <v>200</v>
      </c>
      <c r="H22" t="str">
        <f t="shared" si="3"/>
        <v>05/06-1</v>
      </c>
      <c r="I22" s="1">
        <v>0.67764705882352938</v>
      </c>
      <c r="J22" s="1">
        <v>0.66228070175438591</v>
      </c>
      <c r="K22" s="1">
        <f t="shared" si="0"/>
        <v>0.57242339832869082</v>
      </c>
      <c r="L22" s="1">
        <f t="shared" si="1"/>
        <v>0.14693593314763231</v>
      </c>
      <c r="M22" s="1">
        <f t="shared" si="2"/>
        <v>0.28064066852367686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1441</v>
      </c>
    </row>
    <row r="23" spans="1:20" x14ac:dyDescent="0.3">
      <c r="A23">
        <v>22</v>
      </c>
      <c r="B23" t="s">
        <v>68</v>
      </c>
      <c r="C23" t="s">
        <v>37</v>
      </c>
      <c r="D23">
        <v>272</v>
      </c>
      <c r="E23">
        <v>779</v>
      </c>
      <c r="F23">
        <v>386</v>
      </c>
      <c r="H23" t="str">
        <f t="shared" si="3"/>
        <v>05/06-2</v>
      </c>
      <c r="I23" s="1">
        <v>0.67764705882352938</v>
      </c>
      <c r="J23" s="1">
        <v>0.66228070175438591</v>
      </c>
      <c r="K23" s="1">
        <f t="shared" si="0"/>
        <v>0.55153203342618384</v>
      </c>
      <c r="L23" s="1">
        <f t="shared" si="1"/>
        <v>0.22562674094707522</v>
      </c>
      <c r="M23" s="1">
        <f t="shared" si="2"/>
        <v>0.22284122562674094</v>
      </c>
      <c r="O23">
        <v>22</v>
      </c>
      <c r="P23" t="s">
        <v>69</v>
      </c>
      <c r="Q23" t="s">
        <v>34</v>
      </c>
      <c r="R23">
        <v>361</v>
      </c>
      <c r="S23">
        <v>651</v>
      </c>
      <c r="T23">
        <v>424</v>
      </c>
    </row>
    <row r="24" spans="1:20" x14ac:dyDescent="0.3">
      <c r="A24">
        <v>23</v>
      </c>
      <c r="B24" t="s">
        <v>70</v>
      </c>
      <c r="C24" t="s">
        <v>34</v>
      </c>
      <c r="D24">
        <v>232</v>
      </c>
      <c r="E24">
        <v>804</v>
      </c>
      <c r="F24">
        <v>401</v>
      </c>
      <c r="H24" t="str">
        <f t="shared" si="3"/>
        <v>06/06-1</v>
      </c>
      <c r="I24" s="1">
        <v>0.67764705882352938</v>
      </c>
      <c r="J24" s="1">
        <v>0.66228070175438591</v>
      </c>
      <c r="K24" s="1">
        <f t="shared" si="0"/>
        <v>0.47807933194154489</v>
      </c>
      <c r="L24" s="1">
        <f t="shared" si="1"/>
        <v>0.20180932498260265</v>
      </c>
      <c r="M24" s="1">
        <f t="shared" si="2"/>
        <v>0.32011134307585248</v>
      </c>
      <c r="O24">
        <v>23</v>
      </c>
      <c r="P24" t="s">
        <v>69</v>
      </c>
      <c r="Q24" t="s">
        <v>37</v>
      </c>
      <c r="R24">
        <v>429</v>
      </c>
      <c r="S24">
        <v>691</v>
      </c>
      <c r="T24">
        <v>316</v>
      </c>
    </row>
    <row r="25" spans="1:20" x14ac:dyDescent="0.3">
      <c r="A25">
        <v>24</v>
      </c>
      <c r="B25" t="s">
        <v>70</v>
      </c>
      <c r="C25" t="s">
        <v>37</v>
      </c>
      <c r="D25">
        <v>118</v>
      </c>
      <c r="E25">
        <v>872</v>
      </c>
      <c r="F25">
        <v>447</v>
      </c>
      <c r="H25" t="str">
        <f t="shared" si="3"/>
        <v>06/06-2</v>
      </c>
      <c r="I25" s="1">
        <v>0.67764705882352938</v>
      </c>
      <c r="J25" s="1">
        <v>0.66228070175438591</v>
      </c>
      <c r="K25" s="1">
        <f t="shared" si="0"/>
        <v>0.46480836236933798</v>
      </c>
      <c r="L25" s="1">
        <f t="shared" si="1"/>
        <v>0.18466898954703834</v>
      </c>
      <c r="M25" s="1">
        <f t="shared" si="2"/>
        <v>0.35052264808362371</v>
      </c>
      <c r="O25">
        <v>24</v>
      </c>
      <c r="P25" t="s">
        <v>71</v>
      </c>
      <c r="Q25" t="s">
        <v>34</v>
      </c>
      <c r="R25">
        <v>342</v>
      </c>
      <c r="S25">
        <v>686</v>
      </c>
      <c r="T25">
        <v>408</v>
      </c>
    </row>
    <row r="26" spans="1:20" x14ac:dyDescent="0.3">
      <c r="A26">
        <v>25</v>
      </c>
      <c r="B26" t="s">
        <v>72</v>
      </c>
      <c r="C26" t="s">
        <v>34</v>
      </c>
      <c r="D26">
        <v>292</v>
      </c>
      <c r="E26">
        <v>678</v>
      </c>
      <c r="F26">
        <v>465</v>
      </c>
      <c r="H26" t="str">
        <f t="shared" si="3"/>
        <v>07/06-1</v>
      </c>
      <c r="I26" s="1">
        <v>0.67764705882352938</v>
      </c>
      <c r="J26" s="1">
        <v>0.66228070175438591</v>
      </c>
      <c r="K26" s="1">
        <f t="shared" si="0"/>
        <v>0</v>
      </c>
      <c r="L26" s="1">
        <f t="shared" si="1"/>
        <v>0</v>
      </c>
      <c r="M26" s="1">
        <f t="shared" si="2"/>
        <v>1</v>
      </c>
      <c r="O26">
        <v>25</v>
      </c>
      <c r="P26" t="s">
        <v>71</v>
      </c>
      <c r="Q26" t="s">
        <v>37</v>
      </c>
      <c r="R26">
        <v>445</v>
      </c>
      <c r="S26">
        <v>685</v>
      </c>
      <c r="T26">
        <v>307</v>
      </c>
    </row>
    <row r="27" spans="1:20" x14ac:dyDescent="0.3">
      <c r="H27" t="str">
        <f t="shared" si="3"/>
        <v>07/06-2</v>
      </c>
      <c r="I27" s="1">
        <v>0.67764705882352938</v>
      </c>
      <c r="J27" s="1">
        <v>0.66228070175438591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425</v>
      </c>
      <c r="S27">
        <v>600</v>
      </c>
      <c r="T27">
        <v>410</v>
      </c>
    </row>
    <row r="28" spans="1:20" x14ac:dyDescent="0.3">
      <c r="H28" t="str">
        <f t="shared" si="3"/>
        <v>08/06-1</v>
      </c>
      <c r="I28" s="1">
        <v>0.67764705882352938</v>
      </c>
      <c r="J28" s="1">
        <v>0.66228070175438591</v>
      </c>
      <c r="K28" s="1">
        <f t="shared" si="0"/>
        <v>0.55919220055710306</v>
      </c>
      <c r="L28" s="1">
        <f t="shared" si="1"/>
        <v>0.1573816155988858</v>
      </c>
      <c r="M28" s="1">
        <f t="shared" si="2"/>
        <v>0.28342618384401114</v>
      </c>
      <c r="O28">
        <v>27</v>
      </c>
      <c r="P28" t="s">
        <v>73</v>
      </c>
      <c r="Q28" t="s">
        <v>37</v>
      </c>
      <c r="R28">
        <v>491</v>
      </c>
      <c r="S28">
        <v>630</v>
      </c>
      <c r="T28">
        <v>315</v>
      </c>
    </row>
    <row r="29" spans="1:20" x14ac:dyDescent="0.3">
      <c r="H29" t="str">
        <f t="shared" si="3"/>
        <v>08/06-2</v>
      </c>
      <c r="I29" s="1">
        <v>0.67764705882352938</v>
      </c>
      <c r="J29" s="1">
        <v>0.66228070175438591</v>
      </c>
      <c r="K29" s="1">
        <f t="shared" si="0"/>
        <v>0.49407665505226483</v>
      </c>
      <c r="L29" s="1">
        <f t="shared" si="1"/>
        <v>0.27874564459930312</v>
      </c>
      <c r="M29" s="1">
        <f t="shared" si="2"/>
        <v>0.22717770034843204</v>
      </c>
      <c r="O29">
        <v>28</v>
      </c>
      <c r="P29" t="s">
        <v>74</v>
      </c>
      <c r="Q29" t="s">
        <v>34</v>
      </c>
      <c r="R29">
        <v>354</v>
      </c>
      <c r="S29">
        <v>665</v>
      </c>
      <c r="T29">
        <v>416</v>
      </c>
    </row>
    <row r="30" spans="1:20" x14ac:dyDescent="0.3">
      <c r="H30" t="str">
        <f t="shared" si="3"/>
        <v>09/06-1</v>
      </c>
      <c r="I30" s="1">
        <v>0.67764705882352938</v>
      </c>
      <c r="J30" s="1">
        <v>0.66228070175438591</v>
      </c>
      <c r="K30" s="1">
        <f t="shared" si="0"/>
        <v>0.53963838664812236</v>
      </c>
      <c r="L30" s="1">
        <f t="shared" si="1"/>
        <v>0.1689847009735744</v>
      </c>
      <c r="M30" s="1">
        <f t="shared" si="2"/>
        <v>0.29137691237830321</v>
      </c>
      <c r="O30">
        <v>29</v>
      </c>
      <c r="P30" t="s">
        <v>74</v>
      </c>
      <c r="Q30" t="s">
        <v>37</v>
      </c>
      <c r="R30">
        <v>437</v>
      </c>
      <c r="S30">
        <v>694</v>
      </c>
      <c r="T30">
        <v>305</v>
      </c>
    </row>
    <row r="31" spans="1:20" x14ac:dyDescent="0.3">
      <c r="H31" t="str">
        <f t="shared" si="3"/>
        <v>09/06-2</v>
      </c>
      <c r="I31" s="1">
        <v>0.67764705882352938</v>
      </c>
      <c r="J31" s="1">
        <v>0.66228070175438591</v>
      </c>
      <c r="K31" s="1">
        <f t="shared" si="0"/>
        <v>0.62116991643454034</v>
      </c>
      <c r="L31" s="1">
        <f t="shared" si="1"/>
        <v>0.15250696378830084</v>
      </c>
      <c r="M31" s="1">
        <f t="shared" si="2"/>
        <v>0.22632311977715877</v>
      </c>
      <c r="O31">
        <v>30</v>
      </c>
      <c r="P31" t="s">
        <v>75</v>
      </c>
      <c r="Q31" t="s">
        <v>34</v>
      </c>
      <c r="R31">
        <v>369</v>
      </c>
      <c r="S31">
        <v>657</v>
      </c>
      <c r="T31">
        <v>412</v>
      </c>
    </row>
    <row r="32" spans="1:20" x14ac:dyDescent="0.3">
      <c r="H32" t="str">
        <f t="shared" si="3"/>
        <v>10/06-1</v>
      </c>
      <c r="I32" s="1">
        <v>0.67764705882352938</v>
      </c>
      <c r="J32" s="1">
        <v>0.66228070175438591</v>
      </c>
      <c r="K32" s="1">
        <f t="shared" si="0"/>
        <v>0.51567944250871078</v>
      </c>
      <c r="L32" s="1">
        <f t="shared" si="1"/>
        <v>0.20209059233449478</v>
      </c>
      <c r="M32" s="1">
        <f t="shared" si="2"/>
        <v>0.28222996515679444</v>
      </c>
      <c r="O32">
        <v>31</v>
      </c>
      <c r="P32" t="s">
        <v>75</v>
      </c>
      <c r="Q32" t="s">
        <v>37</v>
      </c>
      <c r="R32">
        <v>391</v>
      </c>
      <c r="S32">
        <v>610</v>
      </c>
      <c r="T32">
        <v>436</v>
      </c>
    </row>
    <row r="33" spans="8:20" x14ac:dyDescent="0.3">
      <c r="H33" t="str">
        <f t="shared" si="3"/>
        <v>10/06-2</v>
      </c>
      <c r="I33" s="1">
        <v>0.67764705882352938</v>
      </c>
      <c r="J33" s="1">
        <v>0.66228070175438591</v>
      </c>
      <c r="K33" s="1">
        <f t="shared" si="0"/>
        <v>0.59638135003479475</v>
      </c>
      <c r="L33" s="1">
        <f t="shared" si="1"/>
        <v>0.2512178148921364</v>
      </c>
      <c r="M33" s="1">
        <f t="shared" si="2"/>
        <v>0.1524008350730689</v>
      </c>
      <c r="O33">
        <v>32</v>
      </c>
      <c r="P33" t="s">
        <v>76</v>
      </c>
      <c r="Q33" t="s">
        <v>34</v>
      </c>
      <c r="R33">
        <v>397</v>
      </c>
      <c r="S33">
        <v>631</v>
      </c>
      <c r="T33">
        <v>409</v>
      </c>
    </row>
    <row r="34" spans="8:20" x14ac:dyDescent="0.3">
      <c r="H34" t="str">
        <f t="shared" si="3"/>
        <v>11/06-1</v>
      </c>
      <c r="I34" s="1">
        <v>0.67764705882352938</v>
      </c>
      <c r="J34" s="1">
        <v>0.66228070175438591</v>
      </c>
      <c r="K34" s="1">
        <f t="shared" si="0"/>
        <v>0.50313152400835071</v>
      </c>
      <c r="L34" s="1">
        <f t="shared" si="1"/>
        <v>0.35768963117606123</v>
      </c>
      <c r="M34" s="1">
        <f t="shared" si="2"/>
        <v>0.13917884481558804</v>
      </c>
      <c r="O34">
        <v>33</v>
      </c>
      <c r="P34" t="s">
        <v>76</v>
      </c>
      <c r="Q34" t="s">
        <v>37</v>
      </c>
      <c r="R34">
        <v>341</v>
      </c>
      <c r="S34">
        <v>609</v>
      </c>
      <c r="T34">
        <v>485</v>
      </c>
    </row>
    <row r="35" spans="8:20" x14ac:dyDescent="0.3">
      <c r="H35" t="str">
        <f t="shared" si="3"/>
        <v>11/06-2</v>
      </c>
      <c r="I35" s="1">
        <v>0.67764705882352938</v>
      </c>
      <c r="J35" s="1">
        <v>0.66228070175438591</v>
      </c>
      <c r="K35" s="1">
        <f t="shared" si="0"/>
        <v>0.54210160055671541</v>
      </c>
      <c r="L35" s="1">
        <f t="shared" si="1"/>
        <v>0.18928322894919972</v>
      </c>
      <c r="M35" s="1">
        <f t="shared" si="2"/>
        <v>0.2686151704940849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1440</v>
      </c>
    </row>
    <row r="36" spans="8:20" x14ac:dyDescent="0.3">
      <c r="H36" t="str">
        <f t="shared" si="3"/>
        <v>12/06-1</v>
      </c>
      <c r="I36" s="1">
        <v>0.67764705882352938</v>
      </c>
      <c r="J36" s="1">
        <v>0.66228070175438591</v>
      </c>
      <c r="K36" s="1">
        <f t="shared" si="0"/>
        <v>0.55949895615866385</v>
      </c>
      <c r="L36" s="1">
        <f t="shared" si="1"/>
        <v>0.16144745998608212</v>
      </c>
      <c r="M36" s="1">
        <f t="shared" si="2"/>
        <v>0.27905358385525403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1440</v>
      </c>
    </row>
    <row r="37" spans="8:20" x14ac:dyDescent="0.3">
      <c r="H37" t="str">
        <f t="shared" si="3"/>
        <v>12/06-2</v>
      </c>
      <c r="I37" s="1">
        <v>0.67764705882352938</v>
      </c>
      <c r="J37" s="1">
        <v>0.66228070175438591</v>
      </c>
      <c r="K37" s="1">
        <f t="shared" si="0"/>
        <v>0.60681976339596377</v>
      </c>
      <c r="L37" s="1">
        <f t="shared" si="1"/>
        <v>8.2115518441196939E-2</v>
      </c>
      <c r="M37" s="1">
        <f t="shared" si="2"/>
        <v>0.31106471816283926</v>
      </c>
      <c r="O37">
        <v>36</v>
      </c>
      <c r="P37" t="s">
        <v>78</v>
      </c>
      <c r="Q37" t="s">
        <v>34</v>
      </c>
      <c r="R37">
        <v>427</v>
      </c>
      <c r="S37">
        <v>591</v>
      </c>
      <c r="T37">
        <v>418</v>
      </c>
    </row>
    <row r="38" spans="8:20" x14ac:dyDescent="0.3">
      <c r="H38" t="str">
        <f t="shared" si="3"/>
        <v>13/06-1</v>
      </c>
      <c r="I38" s="1">
        <v>0.67764705882352938</v>
      </c>
      <c r="J38" s="1">
        <v>0.66228070175438591</v>
      </c>
      <c r="K38" s="1">
        <f t="shared" si="0"/>
        <v>0.47247386759581883</v>
      </c>
      <c r="L38" s="1">
        <f t="shared" si="1"/>
        <v>0.2034843205574913</v>
      </c>
      <c r="M38" s="1">
        <f t="shared" si="2"/>
        <v>0.3240418118466899</v>
      </c>
      <c r="O38">
        <v>37</v>
      </c>
      <c r="P38" t="s">
        <v>78</v>
      </c>
      <c r="Q38" t="s">
        <v>37</v>
      </c>
      <c r="R38">
        <v>423</v>
      </c>
      <c r="S38">
        <v>711</v>
      </c>
      <c r="T38">
        <v>303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271</v>
      </c>
      <c r="S39">
        <v>751</v>
      </c>
      <c r="T39">
        <v>415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225</v>
      </c>
      <c r="S40">
        <v>778</v>
      </c>
      <c r="T40">
        <v>433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314</v>
      </c>
      <c r="S41">
        <v>699</v>
      </c>
      <c r="T41">
        <v>423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297</v>
      </c>
      <c r="S42">
        <v>830</v>
      </c>
      <c r="T42">
        <v>308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412</v>
      </c>
      <c r="S43">
        <v>612</v>
      </c>
      <c r="T43">
        <v>412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351</v>
      </c>
      <c r="S44">
        <v>777</v>
      </c>
      <c r="T44">
        <v>310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420</v>
      </c>
      <c r="S45">
        <v>606</v>
      </c>
      <c r="T45">
        <v>409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307</v>
      </c>
      <c r="S46">
        <v>822</v>
      </c>
      <c r="T46">
        <v>308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309</v>
      </c>
      <c r="S47">
        <v>658</v>
      </c>
      <c r="T47">
        <v>471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346</v>
      </c>
      <c r="S48">
        <v>603</v>
      </c>
      <c r="T48">
        <v>488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223</v>
      </c>
      <c r="S49">
        <v>734</v>
      </c>
      <c r="T49">
        <v>479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375</v>
      </c>
      <c r="S51">
        <v>655</v>
      </c>
      <c r="T51">
        <v>407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244</v>
      </c>
      <c r="S52">
        <v>883</v>
      </c>
      <c r="T52">
        <v>309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346</v>
      </c>
      <c r="S53">
        <v>680</v>
      </c>
      <c r="T53">
        <v>409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229</v>
      </c>
      <c r="S54">
        <v>895</v>
      </c>
      <c r="T54">
        <v>314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359</v>
      </c>
      <c r="S55">
        <v>669</v>
      </c>
      <c r="T55">
        <v>408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260</v>
      </c>
      <c r="S56">
        <v>801</v>
      </c>
      <c r="T56">
        <v>375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321</v>
      </c>
      <c r="S57">
        <v>715</v>
      </c>
      <c r="T57">
        <v>402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291</v>
      </c>
      <c r="S58">
        <v>821</v>
      </c>
      <c r="T58">
        <v>323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294</v>
      </c>
      <c r="S59">
        <v>725</v>
      </c>
      <c r="T59">
        <v>417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352</v>
      </c>
      <c r="S60">
        <v>771</v>
      </c>
      <c r="T60">
        <v>314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291</v>
      </c>
      <c r="S61">
        <v>676</v>
      </c>
      <c r="T61">
        <v>469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215</v>
      </c>
      <c r="S62">
        <v>733</v>
      </c>
      <c r="T62">
        <v>488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219</v>
      </c>
      <c r="S65">
        <v>809</v>
      </c>
      <c r="T65">
        <v>410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334</v>
      </c>
      <c r="S66">
        <v>795</v>
      </c>
      <c r="T66">
        <v>307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302</v>
      </c>
      <c r="S67">
        <v>719</v>
      </c>
      <c r="T67">
        <v>415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284</v>
      </c>
      <c r="S68">
        <v>845</v>
      </c>
      <c r="T68">
        <v>307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224</v>
      </c>
      <c r="S69">
        <v>798</v>
      </c>
      <c r="T69">
        <v>416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305</v>
      </c>
      <c r="S70">
        <v>822</v>
      </c>
      <c r="T70">
        <v>310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284</v>
      </c>
      <c r="S71">
        <v>736</v>
      </c>
      <c r="T71">
        <v>415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506</v>
      </c>
      <c r="S72">
        <v>614</v>
      </c>
      <c r="T72">
        <v>314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340</v>
      </c>
      <c r="S73">
        <v>679</v>
      </c>
      <c r="T73">
        <v>417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325</v>
      </c>
      <c r="S74">
        <v>796</v>
      </c>
      <c r="T74">
        <v>316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272</v>
      </c>
      <c r="S75">
        <v>688</v>
      </c>
      <c r="T75">
        <v>477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263</v>
      </c>
      <c r="S76">
        <v>689</v>
      </c>
      <c r="T76">
        <v>485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1440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361</v>
      </c>
      <c r="S79">
        <v>665</v>
      </c>
      <c r="T79">
        <v>410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311</v>
      </c>
      <c r="S80">
        <v>815</v>
      </c>
      <c r="T80">
        <v>310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351</v>
      </c>
      <c r="S81">
        <v>679</v>
      </c>
      <c r="T81">
        <v>406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356</v>
      </c>
      <c r="S82">
        <v>766</v>
      </c>
      <c r="T82">
        <v>315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498</v>
      </c>
      <c r="S83">
        <v>526</v>
      </c>
      <c r="T83">
        <v>412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292</v>
      </c>
      <c r="S84">
        <v>837</v>
      </c>
      <c r="T84">
        <v>307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151</v>
      </c>
      <c r="S85">
        <v>649</v>
      </c>
      <c r="T85">
        <v>636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234</v>
      </c>
      <c r="S86">
        <v>893</v>
      </c>
      <c r="T86">
        <v>311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329</v>
      </c>
      <c r="S87">
        <v>698</v>
      </c>
      <c r="T87">
        <v>408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293</v>
      </c>
      <c r="S88">
        <v>398</v>
      </c>
      <c r="T88">
        <v>746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1441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113</v>
      </c>
      <c r="Q107" t="s">
        <v>34</v>
      </c>
      <c r="R107">
        <v>175</v>
      </c>
      <c r="S107">
        <v>847</v>
      </c>
      <c r="T107">
        <v>415</v>
      </c>
    </row>
    <row r="108" spans="9:20" x14ac:dyDescent="0.3">
      <c r="O108">
        <v>107</v>
      </c>
      <c r="P108" t="s">
        <v>113</v>
      </c>
      <c r="Q108" t="s">
        <v>37</v>
      </c>
      <c r="R108">
        <v>337</v>
      </c>
      <c r="S108">
        <v>781</v>
      </c>
      <c r="T108">
        <v>320</v>
      </c>
    </row>
    <row r="109" spans="9:20" x14ac:dyDescent="0.3">
      <c r="O109">
        <v>108</v>
      </c>
      <c r="P109" t="s">
        <v>114</v>
      </c>
      <c r="Q109" t="s">
        <v>34</v>
      </c>
      <c r="R109">
        <v>298</v>
      </c>
      <c r="S109">
        <v>732</v>
      </c>
      <c r="T109">
        <v>407</v>
      </c>
    </row>
    <row r="110" spans="9:20" x14ac:dyDescent="0.3">
      <c r="O110">
        <v>109</v>
      </c>
      <c r="P110" t="s">
        <v>114</v>
      </c>
      <c r="Q110" t="s">
        <v>37</v>
      </c>
      <c r="R110">
        <v>317</v>
      </c>
      <c r="S110">
        <v>806</v>
      </c>
      <c r="T110">
        <v>313</v>
      </c>
    </row>
    <row r="111" spans="9:20" x14ac:dyDescent="0.3">
      <c r="O111">
        <v>110</v>
      </c>
      <c r="P111" t="s">
        <v>115</v>
      </c>
      <c r="Q111" t="s">
        <v>34</v>
      </c>
      <c r="R111">
        <v>318</v>
      </c>
      <c r="S111">
        <v>709</v>
      </c>
      <c r="T111">
        <v>408</v>
      </c>
    </row>
    <row r="112" spans="9:20" x14ac:dyDescent="0.3">
      <c r="O112">
        <v>111</v>
      </c>
      <c r="P112" t="s">
        <v>115</v>
      </c>
      <c r="Q112" t="s">
        <v>37</v>
      </c>
      <c r="R112">
        <v>342</v>
      </c>
      <c r="S112">
        <v>768</v>
      </c>
      <c r="T112">
        <v>327</v>
      </c>
    </row>
    <row r="113" spans="15:20" x14ac:dyDescent="0.3">
      <c r="O113">
        <v>112</v>
      </c>
      <c r="P113" t="s">
        <v>116</v>
      </c>
      <c r="Q113" t="s">
        <v>34</v>
      </c>
      <c r="R113">
        <v>420</v>
      </c>
      <c r="S113">
        <v>604</v>
      </c>
      <c r="T113">
        <v>409</v>
      </c>
    </row>
    <row r="114" spans="15:20" x14ac:dyDescent="0.3">
      <c r="O114">
        <v>113</v>
      </c>
      <c r="P114" t="s">
        <v>116</v>
      </c>
      <c r="Q114" t="s">
        <v>37</v>
      </c>
      <c r="R114">
        <v>319</v>
      </c>
      <c r="S114">
        <v>810</v>
      </c>
      <c r="T114">
        <v>307</v>
      </c>
    </row>
    <row r="115" spans="15:20" x14ac:dyDescent="0.3">
      <c r="O115">
        <v>114</v>
      </c>
      <c r="P115" t="s">
        <v>117</v>
      </c>
      <c r="Q115" t="s">
        <v>34</v>
      </c>
      <c r="R115">
        <v>304</v>
      </c>
      <c r="S115">
        <v>723</v>
      </c>
      <c r="T115">
        <v>408</v>
      </c>
    </row>
    <row r="116" spans="15:20" x14ac:dyDescent="0.3">
      <c r="O116">
        <v>115</v>
      </c>
      <c r="P116" t="s">
        <v>117</v>
      </c>
      <c r="Q116" t="s">
        <v>37</v>
      </c>
      <c r="R116">
        <v>276</v>
      </c>
      <c r="S116">
        <v>845</v>
      </c>
      <c r="T116">
        <v>316</v>
      </c>
    </row>
    <row r="117" spans="15:20" x14ac:dyDescent="0.3">
      <c r="O117">
        <v>116</v>
      </c>
      <c r="P117" t="s">
        <v>118</v>
      </c>
      <c r="Q117" t="s">
        <v>34</v>
      </c>
      <c r="R117">
        <v>265</v>
      </c>
      <c r="S117">
        <v>705</v>
      </c>
      <c r="T117">
        <v>467</v>
      </c>
    </row>
    <row r="118" spans="15:20" x14ac:dyDescent="0.3">
      <c r="O118">
        <v>117</v>
      </c>
      <c r="P118" t="s">
        <v>118</v>
      </c>
      <c r="Q118" t="s">
        <v>37</v>
      </c>
      <c r="R118">
        <v>390</v>
      </c>
      <c r="S118">
        <v>548</v>
      </c>
      <c r="T118">
        <v>499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1152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120</v>
      </c>
      <c r="Q121" t="s">
        <v>34</v>
      </c>
      <c r="R121">
        <v>335</v>
      </c>
      <c r="S121">
        <v>672</v>
      </c>
      <c r="T121">
        <v>431</v>
      </c>
    </row>
    <row r="122" spans="15:20" x14ac:dyDescent="0.3">
      <c r="O122">
        <v>121</v>
      </c>
      <c r="P122" t="s">
        <v>120</v>
      </c>
      <c r="Q122" t="s">
        <v>37</v>
      </c>
      <c r="R122">
        <v>298</v>
      </c>
      <c r="S122">
        <v>826</v>
      </c>
      <c r="T122">
        <v>312</v>
      </c>
    </row>
    <row r="123" spans="15:20" x14ac:dyDescent="0.3">
      <c r="O123">
        <v>122</v>
      </c>
      <c r="P123" t="s">
        <v>121</v>
      </c>
      <c r="Q123" t="s">
        <v>34</v>
      </c>
      <c r="R123">
        <v>310</v>
      </c>
      <c r="S123">
        <v>666</v>
      </c>
      <c r="T123">
        <v>462</v>
      </c>
    </row>
    <row r="124" spans="15:20" x14ac:dyDescent="0.3">
      <c r="O124">
        <v>123</v>
      </c>
      <c r="P124" t="s">
        <v>121</v>
      </c>
      <c r="Q124" t="s">
        <v>37</v>
      </c>
      <c r="R124">
        <v>369</v>
      </c>
      <c r="S124">
        <v>753</v>
      </c>
      <c r="T124">
        <v>315</v>
      </c>
    </row>
    <row r="125" spans="15:20" x14ac:dyDescent="0.3">
      <c r="O125">
        <v>124</v>
      </c>
      <c r="P125" t="s">
        <v>122</v>
      </c>
      <c r="Q125" t="s">
        <v>34</v>
      </c>
      <c r="R125">
        <v>364</v>
      </c>
      <c r="S125">
        <v>665</v>
      </c>
      <c r="T125">
        <v>408</v>
      </c>
    </row>
    <row r="126" spans="15:20" x14ac:dyDescent="0.3">
      <c r="O126">
        <v>125</v>
      </c>
      <c r="P126" t="s">
        <v>122</v>
      </c>
      <c r="Q126" t="s">
        <v>37</v>
      </c>
      <c r="R126">
        <v>256</v>
      </c>
      <c r="S126">
        <v>866</v>
      </c>
      <c r="T126">
        <v>316</v>
      </c>
    </row>
    <row r="127" spans="15:20" x14ac:dyDescent="0.3">
      <c r="O127">
        <v>126</v>
      </c>
      <c r="P127" t="s">
        <v>123</v>
      </c>
      <c r="Q127" t="s">
        <v>34</v>
      </c>
      <c r="R127">
        <v>228</v>
      </c>
      <c r="S127">
        <v>785</v>
      </c>
      <c r="T127">
        <v>424</v>
      </c>
    </row>
    <row r="128" spans="15:20" x14ac:dyDescent="0.3">
      <c r="O128">
        <v>127</v>
      </c>
      <c r="P128" t="s">
        <v>123</v>
      </c>
      <c r="Q128" t="s">
        <v>37</v>
      </c>
      <c r="R128">
        <v>187</v>
      </c>
      <c r="S128">
        <v>935</v>
      </c>
      <c r="T128">
        <v>314</v>
      </c>
    </row>
    <row r="129" spans="15:20" x14ac:dyDescent="0.3">
      <c r="O129">
        <v>128</v>
      </c>
      <c r="P129" t="s">
        <v>124</v>
      </c>
      <c r="Q129" t="s">
        <v>34</v>
      </c>
      <c r="R129">
        <v>369</v>
      </c>
      <c r="S129">
        <v>669</v>
      </c>
      <c r="T129">
        <v>398</v>
      </c>
    </row>
    <row r="130" spans="15:20" x14ac:dyDescent="0.3">
      <c r="O130">
        <v>129</v>
      </c>
      <c r="P130" t="s">
        <v>124</v>
      </c>
      <c r="Q130" t="s">
        <v>37</v>
      </c>
      <c r="R130">
        <v>224</v>
      </c>
      <c r="S130">
        <v>899</v>
      </c>
      <c r="T130">
        <v>314</v>
      </c>
    </row>
    <row r="131" spans="15:20" x14ac:dyDescent="0.3">
      <c r="O131">
        <v>130</v>
      </c>
      <c r="P131" t="s">
        <v>125</v>
      </c>
      <c r="Q131" t="s">
        <v>34</v>
      </c>
      <c r="R131">
        <v>364</v>
      </c>
      <c r="S131">
        <v>595</v>
      </c>
      <c r="T131">
        <v>481</v>
      </c>
    </row>
    <row r="132" spans="15:20" x14ac:dyDescent="0.3">
      <c r="O132">
        <v>131</v>
      </c>
      <c r="P132" t="s">
        <v>125</v>
      </c>
      <c r="Q132" t="s">
        <v>37</v>
      </c>
      <c r="R132">
        <v>331</v>
      </c>
      <c r="S132">
        <v>610</v>
      </c>
      <c r="T132">
        <v>495</v>
      </c>
    </row>
    <row r="133" spans="15:20" x14ac:dyDescent="0.3">
      <c r="O133">
        <v>132</v>
      </c>
      <c r="P133" t="s">
        <v>126</v>
      </c>
      <c r="Q133" t="s">
        <v>34</v>
      </c>
      <c r="R133">
        <v>0</v>
      </c>
      <c r="S133">
        <v>0</v>
      </c>
      <c r="T133">
        <v>1440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127</v>
      </c>
      <c r="Q135" t="s">
        <v>34</v>
      </c>
      <c r="R135">
        <v>290</v>
      </c>
      <c r="S135">
        <v>727</v>
      </c>
      <c r="T135">
        <v>419</v>
      </c>
    </row>
    <row r="136" spans="15:20" x14ac:dyDescent="0.3">
      <c r="O136">
        <v>135</v>
      </c>
      <c r="P136" t="s">
        <v>127</v>
      </c>
      <c r="Q136" t="s">
        <v>37</v>
      </c>
      <c r="R136">
        <v>348</v>
      </c>
      <c r="S136">
        <v>774</v>
      </c>
      <c r="T136">
        <v>314</v>
      </c>
    </row>
    <row r="137" spans="15:20" x14ac:dyDescent="0.3">
      <c r="O137">
        <v>136</v>
      </c>
      <c r="P137" t="s">
        <v>128</v>
      </c>
      <c r="Q137" t="s">
        <v>34</v>
      </c>
      <c r="R137">
        <v>380</v>
      </c>
      <c r="S137">
        <v>646</v>
      </c>
      <c r="T137">
        <v>410</v>
      </c>
    </row>
    <row r="138" spans="15:20" x14ac:dyDescent="0.3">
      <c r="O138">
        <v>137</v>
      </c>
      <c r="P138" t="s">
        <v>128</v>
      </c>
      <c r="Q138" t="s">
        <v>37</v>
      </c>
      <c r="R138">
        <v>474</v>
      </c>
      <c r="S138">
        <v>647</v>
      </c>
      <c r="T138">
        <v>316</v>
      </c>
    </row>
    <row r="139" spans="15:20" x14ac:dyDescent="0.3">
      <c r="O139">
        <v>138</v>
      </c>
      <c r="P139" t="s">
        <v>129</v>
      </c>
      <c r="Q139" t="s">
        <v>34</v>
      </c>
      <c r="R139">
        <v>477</v>
      </c>
      <c r="S139">
        <v>551</v>
      </c>
      <c r="T139">
        <v>409</v>
      </c>
    </row>
    <row r="140" spans="15:20" x14ac:dyDescent="0.3">
      <c r="O140">
        <v>139</v>
      </c>
      <c r="P140" t="s">
        <v>129</v>
      </c>
      <c r="Q140" t="s">
        <v>37</v>
      </c>
      <c r="R140">
        <v>335</v>
      </c>
      <c r="S140">
        <v>782</v>
      </c>
      <c r="T140">
        <v>320</v>
      </c>
    </row>
    <row r="141" spans="15:20" x14ac:dyDescent="0.3">
      <c r="O141">
        <v>140</v>
      </c>
      <c r="P141" t="s">
        <v>130</v>
      </c>
      <c r="Q141" t="s">
        <v>34</v>
      </c>
      <c r="R141">
        <v>483</v>
      </c>
      <c r="S141">
        <v>543</v>
      </c>
      <c r="T141">
        <v>410</v>
      </c>
    </row>
    <row r="142" spans="15:20" x14ac:dyDescent="0.3">
      <c r="O142">
        <v>141</v>
      </c>
      <c r="P142" t="s">
        <v>130</v>
      </c>
      <c r="Q142" t="s">
        <v>37</v>
      </c>
      <c r="R142">
        <v>463</v>
      </c>
      <c r="S142">
        <v>665</v>
      </c>
      <c r="T142">
        <v>308</v>
      </c>
    </row>
    <row r="143" spans="15:20" x14ac:dyDescent="0.3">
      <c r="O143">
        <v>142</v>
      </c>
      <c r="P143" t="s">
        <v>131</v>
      </c>
      <c r="Q143" t="s">
        <v>34</v>
      </c>
      <c r="R143">
        <v>382</v>
      </c>
      <c r="S143">
        <v>647</v>
      </c>
      <c r="T143">
        <v>408</v>
      </c>
    </row>
    <row r="144" spans="15:20" x14ac:dyDescent="0.3">
      <c r="O144">
        <v>143</v>
      </c>
      <c r="P144" t="s">
        <v>131</v>
      </c>
      <c r="Q144" t="s">
        <v>37</v>
      </c>
      <c r="R144">
        <v>438</v>
      </c>
      <c r="S144">
        <v>685</v>
      </c>
      <c r="T144">
        <v>314</v>
      </c>
    </row>
    <row r="145" spans="15:20" x14ac:dyDescent="0.3">
      <c r="O145">
        <v>144</v>
      </c>
      <c r="P145" t="s">
        <v>132</v>
      </c>
      <c r="Q145" t="s">
        <v>34</v>
      </c>
      <c r="R145">
        <v>389</v>
      </c>
      <c r="S145">
        <v>578</v>
      </c>
      <c r="T145">
        <v>470</v>
      </c>
    </row>
    <row r="146" spans="15:20" x14ac:dyDescent="0.3">
      <c r="O146">
        <v>145</v>
      </c>
      <c r="P146" t="s">
        <v>132</v>
      </c>
      <c r="Q146" t="s">
        <v>37</v>
      </c>
      <c r="R146">
        <v>321</v>
      </c>
      <c r="S146">
        <v>610</v>
      </c>
      <c r="T146">
        <v>505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134</v>
      </c>
      <c r="Q149" t="s">
        <v>34</v>
      </c>
      <c r="R149">
        <v>292</v>
      </c>
      <c r="S149">
        <v>733</v>
      </c>
      <c r="T149">
        <v>412</v>
      </c>
    </row>
    <row r="150" spans="15:20" x14ac:dyDescent="0.3">
      <c r="O150">
        <v>149</v>
      </c>
      <c r="P150" t="s">
        <v>134</v>
      </c>
      <c r="Q150" t="s">
        <v>37</v>
      </c>
      <c r="R150">
        <v>349</v>
      </c>
      <c r="S150">
        <v>775</v>
      </c>
      <c r="T150">
        <v>313</v>
      </c>
    </row>
    <row r="151" spans="15:20" x14ac:dyDescent="0.3">
      <c r="O151">
        <v>150</v>
      </c>
      <c r="P151" t="s">
        <v>135</v>
      </c>
      <c r="Q151" t="s">
        <v>34</v>
      </c>
      <c r="R151">
        <v>315</v>
      </c>
      <c r="S151">
        <v>693</v>
      </c>
      <c r="T151">
        <v>429</v>
      </c>
    </row>
    <row r="152" spans="15:20" x14ac:dyDescent="0.3">
      <c r="O152">
        <v>151</v>
      </c>
      <c r="P152" t="s">
        <v>135</v>
      </c>
      <c r="Q152" t="s">
        <v>37</v>
      </c>
      <c r="R152">
        <v>422</v>
      </c>
      <c r="S152">
        <v>698</v>
      </c>
      <c r="T152">
        <v>315</v>
      </c>
    </row>
    <row r="153" spans="15:20" x14ac:dyDescent="0.3">
      <c r="O153">
        <v>152</v>
      </c>
      <c r="P153" t="s">
        <v>136</v>
      </c>
      <c r="Q153" t="s">
        <v>34</v>
      </c>
      <c r="R153">
        <v>282</v>
      </c>
      <c r="S153">
        <v>734</v>
      </c>
      <c r="T153">
        <v>420</v>
      </c>
    </row>
    <row r="154" spans="15:20" x14ac:dyDescent="0.3">
      <c r="O154">
        <v>153</v>
      </c>
      <c r="P154" t="s">
        <v>136</v>
      </c>
      <c r="Q154" t="s">
        <v>37</v>
      </c>
      <c r="R154">
        <v>299</v>
      </c>
      <c r="S154">
        <v>825</v>
      </c>
      <c r="T154">
        <v>312</v>
      </c>
    </row>
    <row r="155" spans="15:20" x14ac:dyDescent="0.3">
      <c r="O155">
        <v>154</v>
      </c>
      <c r="P155" t="s">
        <v>137</v>
      </c>
      <c r="Q155" t="s">
        <v>34</v>
      </c>
      <c r="R155">
        <v>216</v>
      </c>
      <c r="S155">
        <v>779</v>
      </c>
      <c r="T155">
        <v>442</v>
      </c>
    </row>
    <row r="156" spans="15:20" x14ac:dyDescent="0.3">
      <c r="O156">
        <v>155</v>
      </c>
      <c r="P156" t="s">
        <v>137</v>
      </c>
      <c r="Q156" t="s">
        <v>37</v>
      </c>
      <c r="R156">
        <v>231</v>
      </c>
      <c r="S156">
        <v>888</v>
      </c>
      <c r="T156">
        <v>317</v>
      </c>
    </row>
    <row r="157" spans="15:20" x14ac:dyDescent="0.3">
      <c r="O157">
        <v>156</v>
      </c>
      <c r="P157" t="s">
        <v>138</v>
      </c>
      <c r="Q157" t="s">
        <v>34</v>
      </c>
      <c r="R157">
        <v>350</v>
      </c>
      <c r="S157">
        <v>677</v>
      </c>
      <c r="T157">
        <v>409</v>
      </c>
    </row>
    <row r="158" spans="15:20" x14ac:dyDescent="0.3">
      <c r="O158">
        <v>157</v>
      </c>
      <c r="P158" t="s">
        <v>138</v>
      </c>
      <c r="Q158" t="s">
        <v>37</v>
      </c>
      <c r="R158">
        <v>344</v>
      </c>
      <c r="S158">
        <v>778</v>
      </c>
      <c r="T158">
        <v>314</v>
      </c>
    </row>
    <row r="159" spans="15:20" x14ac:dyDescent="0.3">
      <c r="O159">
        <v>158</v>
      </c>
      <c r="P159" t="s">
        <v>139</v>
      </c>
      <c r="Q159" t="s">
        <v>34</v>
      </c>
      <c r="R159">
        <v>0</v>
      </c>
      <c r="S159">
        <v>0</v>
      </c>
      <c r="T159">
        <v>1440</v>
      </c>
    </row>
    <row r="160" spans="15:20" x14ac:dyDescent="0.3">
      <c r="O160">
        <v>159</v>
      </c>
      <c r="P160" t="s">
        <v>139</v>
      </c>
      <c r="Q160" t="s">
        <v>37</v>
      </c>
      <c r="R160">
        <v>9</v>
      </c>
      <c r="S160">
        <v>0</v>
      </c>
      <c r="T160">
        <v>1430</v>
      </c>
    </row>
    <row r="161" spans="15:20" x14ac:dyDescent="0.3">
      <c r="O161">
        <v>160</v>
      </c>
      <c r="P161" t="s">
        <v>140</v>
      </c>
      <c r="Q161" t="s">
        <v>37</v>
      </c>
      <c r="R161">
        <v>0</v>
      </c>
      <c r="S161">
        <v>0</v>
      </c>
      <c r="T161">
        <v>1830</v>
      </c>
    </row>
    <row r="162" spans="15:20" x14ac:dyDescent="0.3">
      <c r="O162">
        <v>161</v>
      </c>
      <c r="P162" t="s">
        <v>141</v>
      </c>
      <c r="Q162" t="s">
        <v>34</v>
      </c>
      <c r="R162">
        <v>413</v>
      </c>
      <c r="S162">
        <v>412</v>
      </c>
      <c r="T162">
        <v>610</v>
      </c>
    </row>
    <row r="163" spans="15:20" x14ac:dyDescent="0.3">
      <c r="O163">
        <v>162</v>
      </c>
      <c r="P163" t="s">
        <v>141</v>
      </c>
      <c r="Q163" t="s">
        <v>37</v>
      </c>
      <c r="R163">
        <v>289</v>
      </c>
      <c r="S163">
        <v>833</v>
      </c>
      <c r="T163">
        <v>316</v>
      </c>
    </row>
    <row r="164" spans="15:20" x14ac:dyDescent="0.3">
      <c r="O164">
        <v>163</v>
      </c>
      <c r="P164" t="s">
        <v>142</v>
      </c>
      <c r="Q164" t="s">
        <v>34</v>
      </c>
      <c r="R164">
        <v>295</v>
      </c>
      <c r="S164">
        <v>733</v>
      </c>
      <c r="T164">
        <v>409</v>
      </c>
    </row>
    <row r="165" spans="15:20" x14ac:dyDescent="0.3">
      <c r="O165">
        <v>164</v>
      </c>
      <c r="P165" t="s">
        <v>142</v>
      </c>
      <c r="Q165" t="s">
        <v>37</v>
      </c>
      <c r="R165">
        <v>331</v>
      </c>
      <c r="S165">
        <v>656</v>
      </c>
      <c r="T165">
        <v>449</v>
      </c>
    </row>
    <row r="166" spans="15:20" x14ac:dyDescent="0.3">
      <c r="O166">
        <v>165</v>
      </c>
      <c r="P166" t="s">
        <v>143</v>
      </c>
      <c r="Q166" t="s">
        <v>34</v>
      </c>
      <c r="R166">
        <v>365</v>
      </c>
      <c r="S166">
        <v>663</v>
      </c>
      <c r="T166">
        <v>408</v>
      </c>
    </row>
    <row r="167" spans="15:20" x14ac:dyDescent="0.3">
      <c r="O167">
        <v>166</v>
      </c>
      <c r="P167" t="s">
        <v>143</v>
      </c>
      <c r="Q167" t="s">
        <v>37</v>
      </c>
      <c r="R167">
        <v>386</v>
      </c>
      <c r="S167">
        <v>731</v>
      </c>
      <c r="T167">
        <v>320</v>
      </c>
    </row>
    <row r="168" spans="15:20" x14ac:dyDescent="0.3">
      <c r="O168">
        <v>167</v>
      </c>
      <c r="P168" t="s">
        <v>144</v>
      </c>
      <c r="Q168" t="s">
        <v>34</v>
      </c>
      <c r="R168">
        <v>244</v>
      </c>
      <c r="S168">
        <v>785</v>
      </c>
      <c r="T168">
        <v>408</v>
      </c>
    </row>
    <row r="169" spans="15:20" x14ac:dyDescent="0.3">
      <c r="O169">
        <v>168</v>
      </c>
      <c r="P169" t="s">
        <v>144</v>
      </c>
      <c r="Q169" t="s">
        <v>37</v>
      </c>
      <c r="R169">
        <v>225</v>
      </c>
      <c r="S169">
        <v>898</v>
      </c>
      <c r="T169">
        <v>313</v>
      </c>
    </row>
    <row r="170" spans="15:20" x14ac:dyDescent="0.3">
      <c r="O170">
        <v>169</v>
      </c>
      <c r="P170" t="s">
        <v>145</v>
      </c>
      <c r="Q170" t="s">
        <v>34</v>
      </c>
      <c r="R170">
        <v>313</v>
      </c>
      <c r="S170">
        <v>719</v>
      </c>
      <c r="T170">
        <v>405</v>
      </c>
    </row>
    <row r="171" spans="15:20" x14ac:dyDescent="0.3">
      <c r="O171">
        <v>170</v>
      </c>
      <c r="P171" t="s">
        <v>145</v>
      </c>
      <c r="Q171" t="s">
        <v>37</v>
      </c>
      <c r="R171">
        <v>258</v>
      </c>
      <c r="S171">
        <v>866</v>
      </c>
      <c r="T171">
        <v>313</v>
      </c>
    </row>
    <row r="172" spans="15:20" x14ac:dyDescent="0.3">
      <c r="O172">
        <v>171</v>
      </c>
      <c r="P172" t="s">
        <v>146</v>
      </c>
      <c r="Q172" t="s">
        <v>34</v>
      </c>
      <c r="R172">
        <v>266</v>
      </c>
      <c r="S172">
        <v>705</v>
      </c>
      <c r="T172">
        <v>466</v>
      </c>
    </row>
    <row r="173" spans="15:20" x14ac:dyDescent="0.3">
      <c r="O173">
        <v>172</v>
      </c>
      <c r="P173" t="s">
        <v>146</v>
      </c>
      <c r="Q173" t="s">
        <v>37</v>
      </c>
      <c r="R173">
        <v>234</v>
      </c>
      <c r="S173">
        <v>698</v>
      </c>
      <c r="T173">
        <v>504</v>
      </c>
    </row>
    <row r="174" spans="15:20" x14ac:dyDescent="0.3">
      <c r="O174">
        <v>173</v>
      </c>
      <c r="P174" t="s">
        <v>147</v>
      </c>
      <c r="Q174" t="s">
        <v>34</v>
      </c>
      <c r="R174">
        <v>0</v>
      </c>
      <c r="S174">
        <v>0</v>
      </c>
      <c r="T174">
        <v>1440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148</v>
      </c>
      <c r="Q176" t="s">
        <v>34</v>
      </c>
      <c r="R176">
        <v>216</v>
      </c>
      <c r="S176">
        <v>813</v>
      </c>
      <c r="T176">
        <v>408</v>
      </c>
    </row>
    <row r="177" spans="15:20" x14ac:dyDescent="0.3">
      <c r="O177">
        <v>176</v>
      </c>
      <c r="P177" t="s">
        <v>148</v>
      </c>
      <c r="Q177" t="s">
        <v>37</v>
      </c>
      <c r="R177">
        <v>344</v>
      </c>
      <c r="S177">
        <v>782</v>
      </c>
      <c r="T177">
        <v>310</v>
      </c>
    </row>
    <row r="178" spans="15:20" x14ac:dyDescent="0.3">
      <c r="O178">
        <v>177</v>
      </c>
      <c r="P178" t="s">
        <v>149</v>
      </c>
      <c r="Q178" t="s">
        <v>34</v>
      </c>
      <c r="R178">
        <v>286</v>
      </c>
      <c r="S178">
        <v>747</v>
      </c>
      <c r="T178">
        <v>404</v>
      </c>
    </row>
    <row r="179" spans="15:20" x14ac:dyDescent="0.3">
      <c r="O179">
        <v>178</v>
      </c>
      <c r="P179" t="s">
        <v>149</v>
      </c>
      <c r="Q179" t="s">
        <v>37</v>
      </c>
      <c r="R179">
        <v>339</v>
      </c>
      <c r="S179">
        <v>813</v>
      </c>
      <c r="T179">
        <v>285</v>
      </c>
    </row>
    <row r="180" spans="15:20" x14ac:dyDescent="0.3">
      <c r="O180">
        <v>179</v>
      </c>
      <c r="P180" t="s">
        <v>150</v>
      </c>
      <c r="Q180" t="s">
        <v>34</v>
      </c>
      <c r="R180">
        <v>358</v>
      </c>
      <c r="S180">
        <v>672</v>
      </c>
      <c r="T180">
        <v>406</v>
      </c>
    </row>
    <row r="181" spans="15:20" x14ac:dyDescent="0.3">
      <c r="O181">
        <v>180</v>
      </c>
      <c r="P181" t="s">
        <v>150</v>
      </c>
      <c r="Q181" t="s">
        <v>37</v>
      </c>
      <c r="R181">
        <v>364</v>
      </c>
      <c r="S181">
        <v>754</v>
      </c>
      <c r="T181">
        <v>317</v>
      </c>
    </row>
    <row r="182" spans="15:20" x14ac:dyDescent="0.3">
      <c r="O182">
        <v>181</v>
      </c>
      <c r="P182" t="s">
        <v>151</v>
      </c>
      <c r="Q182" t="s">
        <v>34</v>
      </c>
      <c r="R182">
        <v>297</v>
      </c>
      <c r="S182">
        <v>731</v>
      </c>
      <c r="T182">
        <v>409</v>
      </c>
    </row>
    <row r="183" spans="15:20" x14ac:dyDescent="0.3">
      <c r="O183">
        <v>182</v>
      </c>
      <c r="P183" t="s">
        <v>151</v>
      </c>
      <c r="Q183" t="s">
        <v>37</v>
      </c>
      <c r="R183">
        <v>250</v>
      </c>
      <c r="S183">
        <v>865</v>
      </c>
      <c r="T183">
        <v>321</v>
      </c>
    </row>
    <row r="184" spans="15:20" x14ac:dyDescent="0.3">
      <c r="O184">
        <v>183</v>
      </c>
      <c r="P184" t="s">
        <v>152</v>
      </c>
      <c r="Q184" t="s">
        <v>34</v>
      </c>
      <c r="R184">
        <v>303</v>
      </c>
      <c r="S184">
        <v>714</v>
      </c>
      <c r="T184">
        <v>421</v>
      </c>
    </row>
    <row r="185" spans="15:20" x14ac:dyDescent="0.3">
      <c r="O185">
        <v>184</v>
      </c>
      <c r="P185" t="s">
        <v>152</v>
      </c>
      <c r="Q185" t="s">
        <v>37</v>
      </c>
      <c r="R185">
        <v>270</v>
      </c>
      <c r="S185">
        <v>739</v>
      </c>
      <c r="T185">
        <v>427</v>
      </c>
    </row>
    <row r="186" spans="15:20" x14ac:dyDescent="0.3">
      <c r="O186">
        <v>185</v>
      </c>
      <c r="P186" t="s">
        <v>153</v>
      </c>
      <c r="Q186" t="s">
        <v>34</v>
      </c>
      <c r="R186">
        <v>326</v>
      </c>
      <c r="S186">
        <v>639</v>
      </c>
      <c r="T186">
        <v>471</v>
      </c>
    </row>
    <row r="187" spans="15:20" x14ac:dyDescent="0.3">
      <c r="O187">
        <v>186</v>
      </c>
      <c r="P187" t="s">
        <v>153</v>
      </c>
      <c r="Q187" t="s">
        <v>37</v>
      </c>
      <c r="R187">
        <v>362</v>
      </c>
      <c r="S187">
        <v>559</v>
      </c>
      <c r="T187">
        <v>517</v>
      </c>
    </row>
    <row r="188" spans="15:20" x14ac:dyDescent="0.3">
      <c r="O188">
        <v>187</v>
      </c>
      <c r="P188" t="s">
        <v>154</v>
      </c>
      <c r="Q188" t="s">
        <v>34</v>
      </c>
      <c r="R188">
        <v>0</v>
      </c>
      <c r="S188">
        <v>0</v>
      </c>
      <c r="T188">
        <v>1440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155</v>
      </c>
      <c r="Q190" t="s">
        <v>34</v>
      </c>
      <c r="R190">
        <v>339</v>
      </c>
      <c r="S190">
        <v>692</v>
      </c>
      <c r="T190">
        <v>406</v>
      </c>
    </row>
    <row r="191" spans="15:20" x14ac:dyDescent="0.3">
      <c r="O191">
        <v>190</v>
      </c>
      <c r="P191" t="s">
        <v>155</v>
      </c>
      <c r="Q191" t="s">
        <v>37</v>
      </c>
      <c r="R191">
        <v>221</v>
      </c>
      <c r="S191">
        <v>896</v>
      </c>
      <c r="T191">
        <v>319</v>
      </c>
    </row>
    <row r="192" spans="15:20" x14ac:dyDescent="0.3">
      <c r="O192">
        <v>191</v>
      </c>
      <c r="P192" t="s">
        <v>156</v>
      </c>
      <c r="Q192" t="s">
        <v>34</v>
      </c>
      <c r="R192">
        <v>392</v>
      </c>
      <c r="S192">
        <v>638</v>
      </c>
      <c r="T192">
        <v>407</v>
      </c>
    </row>
    <row r="193" spans="15:20" x14ac:dyDescent="0.3">
      <c r="O193">
        <v>192</v>
      </c>
      <c r="P193" t="s">
        <v>156</v>
      </c>
      <c r="Q193" t="s">
        <v>37</v>
      </c>
      <c r="R193">
        <v>317</v>
      </c>
      <c r="S193">
        <v>799</v>
      </c>
      <c r="T193">
        <v>321</v>
      </c>
    </row>
    <row r="194" spans="15:20" x14ac:dyDescent="0.3">
      <c r="O194">
        <v>193</v>
      </c>
      <c r="P194" t="s">
        <v>157</v>
      </c>
      <c r="Q194" t="s">
        <v>34</v>
      </c>
      <c r="R194">
        <v>380</v>
      </c>
      <c r="S194">
        <v>652</v>
      </c>
      <c r="T194">
        <v>404</v>
      </c>
    </row>
    <row r="195" spans="15:20" x14ac:dyDescent="0.3">
      <c r="O195">
        <v>194</v>
      </c>
      <c r="P195" t="s">
        <v>157</v>
      </c>
      <c r="Q195" t="s">
        <v>37</v>
      </c>
      <c r="R195">
        <v>213</v>
      </c>
      <c r="S195">
        <v>908</v>
      </c>
      <c r="T195">
        <v>317</v>
      </c>
    </row>
    <row r="196" spans="15:20" x14ac:dyDescent="0.3">
      <c r="O196">
        <v>195</v>
      </c>
      <c r="P196" t="s">
        <v>158</v>
      </c>
      <c r="Q196" t="s">
        <v>34</v>
      </c>
      <c r="R196">
        <v>265</v>
      </c>
      <c r="S196">
        <v>766</v>
      </c>
      <c r="T196">
        <v>405</v>
      </c>
    </row>
    <row r="197" spans="15:20" x14ac:dyDescent="0.3">
      <c r="O197">
        <v>196</v>
      </c>
      <c r="P197" t="s">
        <v>158</v>
      </c>
      <c r="Q197" t="s">
        <v>37</v>
      </c>
      <c r="R197">
        <v>354</v>
      </c>
      <c r="S197">
        <v>769</v>
      </c>
      <c r="T197">
        <v>315</v>
      </c>
    </row>
    <row r="198" spans="15:20" x14ac:dyDescent="0.3">
      <c r="O198">
        <v>197</v>
      </c>
      <c r="P198" t="s">
        <v>159</v>
      </c>
      <c r="Q198" t="s">
        <v>34</v>
      </c>
      <c r="R198">
        <v>304</v>
      </c>
      <c r="S198">
        <v>730</v>
      </c>
      <c r="T198">
        <v>403</v>
      </c>
    </row>
    <row r="199" spans="15:20" x14ac:dyDescent="0.3">
      <c r="O199">
        <v>198</v>
      </c>
      <c r="P199" t="s">
        <v>159</v>
      </c>
      <c r="Q199" t="s">
        <v>37</v>
      </c>
      <c r="R199">
        <v>257</v>
      </c>
      <c r="S199">
        <v>868</v>
      </c>
      <c r="T199">
        <v>311</v>
      </c>
    </row>
    <row r="200" spans="15:20" x14ac:dyDescent="0.3">
      <c r="O200">
        <v>199</v>
      </c>
      <c r="P200" t="s">
        <v>160</v>
      </c>
      <c r="Q200" t="s">
        <v>34</v>
      </c>
      <c r="R200">
        <v>235</v>
      </c>
      <c r="S200">
        <v>724</v>
      </c>
      <c r="T200">
        <v>478</v>
      </c>
    </row>
    <row r="201" spans="15:20" x14ac:dyDescent="0.3">
      <c r="O201">
        <v>200</v>
      </c>
      <c r="P201" t="s">
        <v>160</v>
      </c>
      <c r="Q201" t="s">
        <v>37</v>
      </c>
      <c r="R201">
        <v>235</v>
      </c>
      <c r="S201">
        <v>695</v>
      </c>
      <c r="T201">
        <v>506</v>
      </c>
    </row>
    <row r="202" spans="15:20" x14ac:dyDescent="0.3">
      <c r="O202">
        <v>201</v>
      </c>
      <c r="P202" t="s">
        <v>161</v>
      </c>
      <c r="Q202" t="s">
        <v>34</v>
      </c>
      <c r="R202">
        <v>0</v>
      </c>
      <c r="S202">
        <v>0</v>
      </c>
      <c r="T202">
        <v>1440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1440</v>
      </c>
    </row>
    <row r="204" spans="15:20" x14ac:dyDescent="0.3">
      <c r="O204">
        <v>203</v>
      </c>
      <c r="P204" t="s">
        <v>162</v>
      </c>
      <c r="Q204" t="s">
        <v>34</v>
      </c>
      <c r="R204">
        <v>342</v>
      </c>
      <c r="S204">
        <v>689</v>
      </c>
      <c r="T204">
        <v>406</v>
      </c>
    </row>
    <row r="205" spans="15:20" x14ac:dyDescent="0.3">
      <c r="O205">
        <v>204</v>
      </c>
      <c r="P205" t="s">
        <v>162</v>
      </c>
      <c r="Q205" t="s">
        <v>37</v>
      </c>
      <c r="R205">
        <v>348</v>
      </c>
      <c r="S205">
        <v>771</v>
      </c>
      <c r="T205">
        <v>318</v>
      </c>
    </row>
    <row r="206" spans="15:20" x14ac:dyDescent="0.3">
      <c r="O206">
        <v>205</v>
      </c>
      <c r="P206" t="s">
        <v>163</v>
      </c>
      <c r="Q206" t="s">
        <v>34</v>
      </c>
      <c r="R206">
        <v>310</v>
      </c>
      <c r="S206">
        <v>723</v>
      </c>
      <c r="T206">
        <v>403</v>
      </c>
    </row>
    <row r="207" spans="15:20" x14ac:dyDescent="0.3">
      <c r="O207">
        <v>206</v>
      </c>
      <c r="P207" t="s">
        <v>163</v>
      </c>
      <c r="Q207" t="s">
        <v>37</v>
      </c>
      <c r="R207">
        <v>363</v>
      </c>
      <c r="S207">
        <v>753</v>
      </c>
      <c r="T207">
        <v>320</v>
      </c>
    </row>
    <row r="208" spans="15:20" x14ac:dyDescent="0.3">
      <c r="O208">
        <v>207</v>
      </c>
      <c r="P208" t="s">
        <v>164</v>
      </c>
      <c r="Q208" t="s">
        <v>34</v>
      </c>
      <c r="R208">
        <v>267</v>
      </c>
      <c r="S208">
        <v>758</v>
      </c>
      <c r="T208">
        <v>412</v>
      </c>
    </row>
    <row r="209" spans="15:20" x14ac:dyDescent="0.3">
      <c r="O209">
        <v>208</v>
      </c>
      <c r="P209" t="s">
        <v>164</v>
      </c>
      <c r="Q209" t="s">
        <v>37</v>
      </c>
      <c r="R209">
        <v>368</v>
      </c>
      <c r="S209">
        <v>749</v>
      </c>
      <c r="T209">
        <v>318</v>
      </c>
    </row>
    <row r="210" spans="15:20" x14ac:dyDescent="0.3">
      <c r="O210">
        <v>209</v>
      </c>
      <c r="P210" t="s">
        <v>165</v>
      </c>
      <c r="Q210" t="s">
        <v>34</v>
      </c>
      <c r="R210">
        <v>187</v>
      </c>
      <c r="S210">
        <v>841</v>
      </c>
      <c r="T210">
        <v>408</v>
      </c>
    </row>
    <row r="211" spans="15:20" x14ac:dyDescent="0.3">
      <c r="O211">
        <v>210</v>
      </c>
      <c r="P211" t="s">
        <v>165</v>
      </c>
      <c r="Q211" t="s">
        <v>37</v>
      </c>
      <c r="R211">
        <v>359</v>
      </c>
      <c r="S211">
        <v>760</v>
      </c>
      <c r="T211">
        <v>317</v>
      </c>
    </row>
    <row r="212" spans="15:20" x14ac:dyDescent="0.3">
      <c r="O212">
        <v>211</v>
      </c>
      <c r="P212" t="s">
        <v>166</v>
      </c>
      <c r="Q212" t="s">
        <v>34</v>
      </c>
      <c r="R212">
        <v>346</v>
      </c>
      <c r="S212">
        <v>680</v>
      </c>
      <c r="T212">
        <v>410</v>
      </c>
    </row>
    <row r="213" spans="15:20" x14ac:dyDescent="0.3">
      <c r="O213">
        <v>212</v>
      </c>
      <c r="P213" t="s">
        <v>166</v>
      </c>
      <c r="Q213" t="s">
        <v>37</v>
      </c>
      <c r="R213">
        <v>270</v>
      </c>
      <c r="S213">
        <v>725</v>
      </c>
      <c r="T213">
        <v>440</v>
      </c>
    </row>
    <row r="214" spans="15:20" x14ac:dyDescent="0.3">
      <c r="O214">
        <v>213</v>
      </c>
      <c r="P214" t="s">
        <v>167</v>
      </c>
      <c r="Q214" t="s">
        <v>34</v>
      </c>
      <c r="R214">
        <v>389</v>
      </c>
      <c r="S214">
        <v>578</v>
      </c>
      <c r="T214">
        <v>469</v>
      </c>
    </row>
    <row r="215" spans="15:20" x14ac:dyDescent="0.3">
      <c r="O215">
        <v>214</v>
      </c>
      <c r="P215" t="s">
        <v>167</v>
      </c>
      <c r="Q215" t="s">
        <v>37</v>
      </c>
      <c r="R215">
        <v>292</v>
      </c>
      <c r="S215">
        <v>622</v>
      </c>
      <c r="T215">
        <v>524</v>
      </c>
    </row>
    <row r="216" spans="15:20" x14ac:dyDescent="0.3">
      <c r="O216">
        <v>215</v>
      </c>
      <c r="P216" t="s">
        <v>168</v>
      </c>
      <c r="Q216" t="s">
        <v>34</v>
      </c>
      <c r="R216">
        <v>0</v>
      </c>
      <c r="S216">
        <v>0</v>
      </c>
      <c r="T216">
        <v>1440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1440</v>
      </c>
    </row>
    <row r="218" spans="15:20" x14ac:dyDescent="0.3">
      <c r="O218">
        <v>217</v>
      </c>
      <c r="P218" t="s">
        <v>169</v>
      </c>
      <c r="Q218" t="s">
        <v>34</v>
      </c>
      <c r="R218">
        <v>393</v>
      </c>
      <c r="S218">
        <v>637</v>
      </c>
      <c r="T218">
        <v>405</v>
      </c>
    </row>
    <row r="219" spans="15:20" x14ac:dyDescent="0.3">
      <c r="O219">
        <v>218</v>
      </c>
      <c r="P219" t="s">
        <v>169</v>
      </c>
      <c r="Q219" t="s">
        <v>37</v>
      </c>
      <c r="R219">
        <v>263</v>
      </c>
      <c r="S219">
        <v>852</v>
      </c>
      <c r="T219">
        <v>321</v>
      </c>
    </row>
    <row r="220" spans="15:20" x14ac:dyDescent="0.3">
      <c r="O220">
        <v>219</v>
      </c>
      <c r="P220" t="s">
        <v>170</v>
      </c>
      <c r="Q220" t="s">
        <v>34</v>
      </c>
      <c r="R220">
        <v>451</v>
      </c>
      <c r="S220">
        <v>578</v>
      </c>
      <c r="T220">
        <v>406</v>
      </c>
    </row>
    <row r="221" spans="15:20" x14ac:dyDescent="0.3">
      <c r="O221">
        <v>220</v>
      </c>
      <c r="P221" t="s">
        <v>170</v>
      </c>
      <c r="Q221" t="s">
        <v>37</v>
      </c>
      <c r="R221">
        <v>256</v>
      </c>
      <c r="S221">
        <v>823</v>
      </c>
      <c r="T221">
        <v>357</v>
      </c>
    </row>
    <row r="222" spans="15:20" x14ac:dyDescent="0.3">
      <c r="O222">
        <v>221</v>
      </c>
      <c r="P222" t="s">
        <v>171</v>
      </c>
      <c r="Q222" t="s">
        <v>34</v>
      </c>
      <c r="R222">
        <v>267</v>
      </c>
      <c r="S222">
        <v>765</v>
      </c>
      <c r="T222">
        <v>405</v>
      </c>
    </row>
    <row r="223" spans="15:20" x14ac:dyDescent="0.3">
      <c r="O223">
        <v>222</v>
      </c>
      <c r="P223" t="s">
        <v>171</v>
      </c>
      <c r="Q223" t="s">
        <v>37</v>
      </c>
      <c r="R223">
        <v>339</v>
      </c>
      <c r="S223">
        <v>782</v>
      </c>
      <c r="T223">
        <v>316</v>
      </c>
    </row>
    <row r="224" spans="15:20" x14ac:dyDescent="0.3">
      <c r="O224">
        <v>223</v>
      </c>
      <c r="P224" t="s">
        <v>172</v>
      </c>
      <c r="Q224" t="s">
        <v>34</v>
      </c>
      <c r="R224">
        <v>249</v>
      </c>
      <c r="S224">
        <v>786</v>
      </c>
      <c r="T224">
        <v>401</v>
      </c>
    </row>
    <row r="225" spans="15:20" x14ac:dyDescent="0.3">
      <c r="O225">
        <v>224</v>
      </c>
      <c r="P225" t="s">
        <v>172</v>
      </c>
      <c r="Q225" t="s">
        <v>37</v>
      </c>
      <c r="R225">
        <v>421</v>
      </c>
      <c r="S225">
        <v>689</v>
      </c>
      <c r="T225">
        <v>328</v>
      </c>
    </row>
    <row r="226" spans="15:20" x14ac:dyDescent="0.3">
      <c r="O226">
        <v>225</v>
      </c>
      <c r="P226" t="s">
        <v>173</v>
      </c>
      <c r="Q226" t="s">
        <v>34</v>
      </c>
      <c r="R226">
        <v>237</v>
      </c>
      <c r="S226">
        <v>797</v>
      </c>
      <c r="T226">
        <v>401</v>
      </c>
    </row>
    <row r="227" spans="15:20" x14ac:dyDescent="0.3">
      <c r="O227">
        <v>226</v>
      </c>
      <c r="P227" t="s">
        <v>173</v>
      </c>
      <c r="Q227" t="s">
        <v>37</v>
      </c>
      <c r="R227">
        <v>321</v>
      </c>
      <c r="S227">
        <v>793</v>
      </c>
      <c r="T227">
        <v>322</v>
      </c>
    </row>
    <row r="228" spans="15:20" x14ac:dyDescent="0.3">
      <c r="O228">
        <v>227</v>
      </c>
      <c r="P228" t="s">
        <v>174</v>
      </c>
      <c r="Q228" t="s">
        <v>34</v>
      </c>
      <c r="R228">
        <v>462</v>
      </c>
      <c r="S228">
        <v>498</v>
      </c>
      <c r="T228">
        <v>477</v>
      </c>
    </row>
    <row r="229" spans="15:20" x14ac:dyDescent="0.3">
      <c r="O229">
        <v>228</v>
      </c>
      <c r="P229" t="s">
        <v>174</v>
      </c>
      <c r="Q229" t="s">
        <v>37</v>
      </c>
      <c r="R229">
        <v>396</v>
      </c>
      <c r="S229">
        <v>544</v>
      </c>
      <c r="T229">
        <v>497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176</v>
      </c>
      <c r="Q232" t="s">
        <v>34</v>
      </c>
      <c r="R232">
        <v>382</v>
      </c>
      <c r="S232">
        <v>649</v>
      </c>
      <c r="T232">
        <v>406</v>
      </c>
    </row>
    <row r="233" spans="15:20" x14ac:dyDescent="0.3">
      <c r="O233">
        <v>232</v>
      </c>
      <c r="P233" t="s">
        <v>176</v>
      </c>
      <c r="Q233" t="s">
        <v>37</v>
      </c>
      <c r="R233">
        <v>506</v>
      </c>
      <c r="S233">
        <v>574</v>
      </c>
      <c r="T233">
        <v>357</v>
      </c>
    </row>
    <row r="234" spans="15:20" x14ac:dyDescent="0.3">
      <c r="O234">
        <v>233</v>
      </c>
      <c r="P234" t="s">
        <v>177</v>
      </c>
      <c r="Q234" t="s">
        <v>34</v>
      </c>
      <c r="R234">
        <v>457</v>
      </c>
      <c r="S234">
        <v>574</v>
      </c>
      <c r="T234">
        <v>406</v>
      </c>
    </row>
    <row r="235" spans="15:20" x14ac:dyDescent="0.3">
      <c r="O235">
        <v>234</v>
      </c>
      <c r="P235" t="s">
        <v>177</v>
      </c>
      <c r="Q235" t="s">
        <v>37</v>
      </c>
      <c r="R235">
        <v>451</v>
      </c>
      <c r="S235">
        <v>663</v>
      </c>
      <c r="T235">
        <v>322</v>
      </c>
    </row>
    <row r="236" spans="15:20" x14ac:dyDescent="0.3">
      <c r="O236">
        <v>235</v>
      </c>
      <c r="P236" t="s">
        <v>178</v>
      </c>
      <c r="Q236" t="s">
        <v>34</v>
      </c>
      <c r="R236">
        <v>222</v>
      </c>
      <c r="S236">
        <v>739</v>
      </c>
      <c r="T236">
        <v>476</v>
      </c>
    </row>
    <row r="237" spans="15:20" x14ac:dyDescent="0.3">
      <c r="O237">
        <v>236</v>
      </c>
      <c r="P237" t="s">
        <v>178</v>
      </c>
      <c r="Q237" t="s">
        <v>37</v>
      </c>
      <c r="R237">
        <v>499</v>
      </c>
      <c r="S237">
        <v>485</v>
      </c>
      <c r="T237">
        <v>454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1440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1440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1440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1440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1440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1440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1440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1440</v>
      </c>
    </row>
    <row r="246" spans="15:20" x14ac:dyDescent="0.3">
      <c r="O246">
        <v>245</v>
      </c>
      <c r="P246" t="s">
        <v>183</v>
      </c>
      <c r="Q246" t="s">
        <v>34</v>
      </c>
      <c r="R246">
        <v>290</v>
      </c>
      <c r="S246">
        <v>742</v>
      </c>
      <c r="T246">
        <v>405</v>
      </c>
    </row>
    <row r="247" spans="15:20" x14ac:dyDescent="0.3">
      <c r="O247">
        <v>246</v>
      </c>
      <c r="P247" t="s">
        <v>183</v>
      </c>
      <c r="Q247" t="s">
        <v>37</v>
      </c>
      <c r="R247">
        <v>248</v>
      </c>
      <c r="S247">
        <v>874</v>
      </c>
      <c r="T247">
        <v>315</v>
      </c>
    </row>
    <row r="248" spans="15:20" x14ac:dyDescent="0.3">
      <c r="O248">
        <v>247</v>
      </c>
      <c r="P248" t="s">
        <v>184</v>
      </c>
      <c r="Q248" t="s">
        <v>34</v>
      </c>
      <c r="R248">
        <v>296</v>
      </c>
      <c r="S248">
        <v>732</v>
      </c>
      <c r="T248">
        <v>409</v>
      </c>
    </row>
    <row r="249" spans="15:20" x14ac:dyDescent="0.3">
      <c r="O249">
        <v>248</v>
      </c>
      <c r="P249" t="s">
        <v>184</v>
      </c>
      <c r="Q249" t="s">
        <v>37</v>
      </c>
      <c r="R249">
        <v>291</v>
      </c>
      <c r="S249">
        <v>833</v>
      </c>
      <c r="T249">
        <v>314</v>
      </c>
    </row>
    <row r="250" spans="15:20" x14ac:dyDescent="0.3">
      <c r="O250">
        <v>249</v>
      </c>
      <c r="P250" t="s">
        <v>185</v>
      </c>
      <c r="Q250" t="s">
        <v>34</v>
      </c>
      <c r="R250">
        <v>273</v>
      </c>
      <c r="S250">
        <v>762</v>
      </c>
      <c r="T250">
        <v>404</v>
      </c>
    </row>
    <row r="251" spans="15:20" x14ac:dyDescent="0.3">
      <c r="O251">
        <v>250</v>
      </c>
      <c r="P251" t="s">
        <v>185</v>
      </c>
      <c r="Q251" t="s">
        <v>37</v>
      </c>
      <c r="R251">
        <v>354</v>
      </c>
      <c r="S251">
        <v>765</v>
      </c>
      <c r="T251">
        <v>317</v>
      </c>
    </row>
    <row r="252" spans="15:20" x14ac:dyDescent="0.3">
      <c r="O252">
        <v>251</v>
      </c>
      <c r="P252" t="s">
        <v>186</v>
      </c>
      <c r="Q252" t="s">
        <v>34</v>
      </c>
      <c r="R252">
        <v>299</v>
      </c>
      <c r="S252">
        <v>735</v>
      </c>
      <c r="T252">
        <v>402</v>
      </c>
    </row>
    <row r="253" spans="15:20" x14ac:dyDescent="0.3">
      <c r="O253">
        <v>252</v>
      </c>
      <c r="P253" t="s">
        <v>186</v>
      </c>
      <c r="Q253" t="s">
        <v>37</v>
      </c>
      <c r="R253">
        <v>343</v>
      </c>
      <c r="S253">
        <v>770</v>
      </c>
      <c r="T253">
        <v>324</v>
      </c>
    </row>
    <row r="254" spans="15:20" x14ac:dyDescent="0.3">
      <c r="O254">
        <v>253</v>
      </c>
      <c r="P254" t="s">
        <v>187</v>
      </c>
      <c r="Q254" t="s">
        <v>34</v>
      </c>
      <c r="R254">
        <v>360</v>
      </c>
      <c r="S254">
        <v>669</v>
      </c>
      <c r="T254">
        <v>408</v>
      </c>
    </row>
    <row r="255" spans="15:20" x14ac:dyDescent="0.3">
      <c r="O255">
        <v>254</v>
      </c>
      <c r="P255" t="s">
        <v>187</v>
      </c>
      <c r="Q255" t="s">
        <v>37</v>
      </c>
      <c r="R255">
        <v>448</v>
      </c>
      <c r="S255">
        <v>662</v>
      </c>
      <c r="T255">
        <v>327</v>
      </c>
    </row>
    <row r="256" spans="15:20" x14ac:dyDescent="0.3">
      <c r="O256">
        <v>255</v>
      </c>
      <c r="P256" t="s">
        <v>188</v>
      </c>
      <c r="Q256" t="s">
        <v>34</v>
      </c>
      <c r="R256">
        <v>324</v>
      </c>
      <c r="S256">
        <v>652</v>
      </c>
      <c r="T256">
        <v>461</v>
      </c>
    </row>
    <row r="257" spans="15:20" x14ac:dyDescent="0.3">
      <c r="O257">
        <v>256</v>
      </c>
      <c r="P257" t="s">
        <v>188</v>
      </c>
      <c r="Q257" t="s">
        <v>37</v>
      </c>
      <c r="R257">
        <v>343</v>
      </c>
      <c r="S257">
        <v>596</v>
      </c>
      <c r="T257">
        <v>498</v>
      </c>
    </row>
    <row r="258" spans="15:20" x14ac:dyDescent="0.3">
      <c r="O258">
        <v>257</v>
      </c>
      <c r="P258" t="s">
        <v>189</v>
      </c>
      <c r="Q258" t="s">
        <v>34</v>
      </c>
      <c r="R258">
        <v>0</v>
      </c>
      <c r="S258">
        <v>0</v>
      </c>
      <c r="T258">
        <v>1440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1440</v>
      </c>
    </row>
    <row r="260" spans="15:20" x14ac:dyDescent="0.3">
      <c r="O260">
        <v>259</v>
      </c>
      <c r="P260" t="s">
        <v>190</v>
      </c>
      <c r="Q260" t="s">
        <v>34</v>
      </c>
      <c r="R260">
        <v>377</v>
      </c>
      <c r="S260">
        <v>652</v>
      </c>
      <c r="T260">
        <v>409</v>
      </c>
    </row>
    <row r="261" spans="15:20" x14ac:dyDescent="0.3">
      <c r="O261">
        <v>260</v>
      </c>
      <c r="P261" t="s">
        <v>190</v>
      </c>
      <c r="Q261" t="s">
        <v>37</v>
      </c>
      <c r="R261">
        <v>296</v>
      </c>
      <c r="S261">
        <v>809</v>
      </c>
      <c r="T261">
        <v>332</v>
      </c>
    </row>
    <row r="262" spans="15:20" x14ac:dyDescent="0.3">
      <c r="O262">
        <v>261</v>
      </c>
      <c r="P262" t="s">
        <v>191</v>
      </c>
      <c r="Q262" t="s">
        <v>34</v>
      </c>
      <c r="R262">
        <v>412</v>
      </c>
      <c r="S262">
        <v>619</v>
      </c>
      <c r="T262">
        <v>407</v>
      </c>
    </row>
    <row r="263" spans="15:20" x14ac:dyDescent="0.3">
      <c r="O263">
        <v>262</v>
      </c>
      <c r="P263" t="s">
        <v>191</v>
      </c>
      <c r="Q263" t="s">
        <v>37</v>
      </c>
      <c r="R263">
        <v>506</v>
      </c>
      <c r="S263">
        <v>600</v>
      </c>
      <c r="T263">
        <v>331</v>
      </c>
    </row>
    <row r="264" spans="15:20" x14ac:dyDescent="0.3">
      <c r="O264">
        <v>263</v>
      </c>
      <c r="P264" t="s">
        <v>192</v>
      </c>
      <c r="Q264" t="s">
        <v>34</v>
      </c>
      <c r="R264">
        <v>359</v>
      </c>
      <c r="S264">
        <v>666</v>
      </c>
      <c r="T264">
        <v>412</v>
      </c>
    </row>
    <row r="265" spans="15:20" x14ac:dyDescent="0.3">
      <c r="O265">
        <v>264</v>
      </c>
      <c r="P265" t="s">
        <v>192</v>
      </c>
      <c r="Q265" t="s">
        <v>37</v>
      </c>
      <c r="R265">
        <v>386</v>
      </c>
      <c r="S265">
        <v>713</v>
      </c>
      <c r="T265">
        <v>338</v>
      </c>
    </row>
    <row r="266" spans="15:20" x14ac:dyDescent="0.3">
      <c r="O266">
        <v>265</v>
      </c>
      <c r="P266" t="s">
        <v>193</v>
      </c>
      <c r="Q266" t="s">
        <v>34</v>
      </c>
      <c r="R266">
        <v>409</v>
      </c>
      <c r="S266">
        <v>600</v>
      </c>
      <c r="T266">
        <v>428</v>
      </c>
    </row>
    <row r="267" spans="15:20" x14ac:dyDescent="0.3">
      <c r="O267">
        <v>266</v>
      </c>
      <c r="P267" t="s">
        <v>193</v>
      </c>
      <c r="Q267" t="s">
        <v>37</v>
      </c>
      <c r="R267">
        <v>307</v>
      </c>
      <c r="S267">
        <v>803</v>
      </c>
      <c r="T267">
        <v>328</v>
      </c>
    </row>
    <row r="268" spans="15:20" x14ac:dyDescent="0.3">
      <c r="O268">
        <v>267</v>
      </c>
      <c r="P268" t="s">
        <v>194</v>
      </c>
      <c r="Q268" t="s">
        <v>34</v>
      </c>
      <c r="R268">
        <v>413</v>
      </c>
      <c r="S268">
        <v>614</v>
      </c>
      <c r="T268">
        <v>411</v>
      </c>
    </row>
    <row r="269" spans="15:20" x14ac:dyDescent="0.3">
      <c r="O269">
        <v>268</v>
      </c>
      <c r="P269" t="s">
        <v>194</v>
      </c>
      <c r="Q269" t="s">
        <v>37</v>
      </c>
      <c r="R269">
        <v>295</v>
      </c>
      <c r="S269">
        <v>816</v>
      </c>
      <c r="T269">
        <v>326</v>
      </c>
    </row>
    <row r="270" spans="15:20" x14ac:dyDescent="0.3">
      <c r="O270">
        <v>269</v>
      </c>
      <c r="P270" t="s">
        <v>195</v>
      </c>
      <c r="Q270" t="s">
        <v>34</v>
      </c>
      <c r="R270">
        <v>322</v>
      </c>
      <c r="S270">
        <v>497</v>
      </c>
      <c r="T270">
        <v>618</v>
      </c>
    </row>
    <row r="271" spans="15:20" x14ac:dyDescent="0.3">
      <c r="O271">
        <v>270</v>
      </c>
      <c r="P271" t="s">
        <v>195</v>
      </c>
      <c r="Q271" t="s">
        <v>37</v>
      </c>
      <c r="R271">
        <v>368</v>
      </c>
      <c r="S271">
        <v>557</v>
      </c>
      <c r="T271">
        <v>512</v>
      </c>
    </row>
    <row r="272" spans="15:20" x14ac:dyDescent="0.3">
      <c r="O272">
        <v>271</v>
      </c>
      <c r="P272" t="s">
        <v>196</v>
      </c>
      <c r="Q272" t="s">
        <v>34</v>
      </c>
      <c r="R272">
        <v>0</v>
      </c>
      <c r="S272">
        <v>0</v>
      </c>
      <c r="T272">
        <v>1440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1440</v>
      </c>
    </row>
    <row r="274" spans="15:20" x14ac:dyDescent="0.3">
      <c r="O274">
        <v>273</v>
      </c>
      <c r="P274" t="s">
        <v>197</v>
      </c>
      <c r="Q274" t="s">
        <v>34</v>
      </c>
      <c r="R274">
        <v>473</v>
      </c>
      <c r="S274">
        <v>558</v>
      </c>
      <c r="T274">
        <v>406</v>
      </c>
    </row>
    <row r="275" spans="15:20" x14ac:dyDescent="0.3">
      <c r="O275">
        <v>274</v>
      </c>
      <c r="P275" t="s">
        <v>197</v>
      </c>
      <c r="Q275" t="s">
        <v>37</v>
      </c>
      <c r="R275">
        <v>321</v>
      </c>
      <c r="S275">
        <v>791</v>
      </c>
      <c r="T275">
        <v>326</v>
      </c>
    </row>
    <row r="276" spans="15:20" x14ac:dyDescent="0.3">
      <c r="O276">
        <v>275</v>
      </c>
      <c r="P276" t="s">
        <v>198</v>
      </c>
      <c r="Q276" t="s">
        <v>34</v>
      </c>
      <c r="R276">
        <v>373</v>
      </c>
      <c r="S276">
        <v>656</v>
      </c>
      <c r="T276">
        <v>407</v>
      </c>
    </row>
    <row r="277" spans="15:20" x14ac:dyDescent="0.3">
      <c r="O277">
        <v>276</v>
      </c>
      <c r="P277" t="s">
        <v>198</v>
      </c>
      <c r="Q277" t="s">
        <v>37</v>
      </c>
      <c r="R277">
        <v>387</v>
      </c>
      <c r="S277">
        <v>732</v>
      </c>
      <c r="T277">
        <v>318</v>
      </c>
    </row>
    <row r="278" spans="15:20" x14ac:dyDescent="0.3">
      <c r="O278">
        <v>277</v>
      </c>
      <c r="P278" t="s">
        <v>199</v>
      </c>
      <c r="Q278" t="s">
        <v>34</v>
      </c>
      <c r="R278">
        <v>523</v>
      </c>
      <c r="S278">
        <v>508</v>
      </c>
      <c r="T278">
        <v>405</v>
      </c>
    </row>
    <row r="279" spans="15:20" x14ac:dyDescent="0.3">
      <c r="O279">
        <v>278</v>
      </c>
      <c r="P279" t="s">
        <v>199</v>
      </c>
      <c r="Q279" t="s">
        <v>37</v>
      </c>
      <c r="R279">
        <v>245</v>
      </c>
      <c r="S279">
        <v>870</v>
      </c>
      <c r="T279">
        <v>321</v>
      </c>
    </row>
    <row r="280" spans="15:20" x14ac:dyDescent="0.3">
      <c r="O280">
        <v>279</v>
      </c>
      <c r="P280" t="s">
        <v>200</v>
      </c>
      <c r="Q280" t="s">
        <v>34</v>
      </c>
      <c r="R280">
        <v>370</v>
      </c>
      <c r="S280">
        <v>646</v>
      </c>
      <c r="T280">
        <v>420</v>
      </c>
    </row>
    <row r="281" spans="15:20" x14ac:dyDescent="0.3">
      <c r="O281">
        <v>280</v>
      </c>
      <c r="P281" t="s">
        <v>200</v>
      </c>
      <c r="Q281" t="s">
        <v>37</v>
      </c>
      <c r="R281">
        <v>509</v>
      </c>
      <c r="S281">
        <v>610</v>
      </c>
      <c r="T281">
        <v>320</v>
      </c>
    </row>
    <row r="282" spans="15:20" x14ac:dyDescent="0.3">
      <c r="O282">
        <v>281</v>
      </c>
      <c r="P282" t="s">
        <v>201</v>
      </c>
      <c r="Q282" t="s">
        <v>34</v>
      </c>
      <c r="R282">
        <v>415</v>
      </c>
      <c r="S282">
        <v>604</v>
      </c>
      <c r="T282">
        <v>418</v>
      </c>
    </row>
    <row r="283" spans="15:20" x14ac:dyDescent="0.3">
      <c r="O283">
        <v>282</v>
      </c>
      <c r="P283" t="s">
        <v>201</v>
      </c>
      <c r="Q283" t="s">
        <v>37</v>
      </c>
      <c r="R283">
        <v>341</v>
      </c>
      <c r="S283">
        <v>773</v>
      </c>
      <c r="T283">
        <v>322</v>
      </c>
    </row>
    <row r="284" spans="15:20" x14ac:dyDescent="0.3">
      <c r="O284">
        <v>283</v>
      </c>
      <c r="P284" t="s">
        <v>202</v>
      </c>
      <c r="Q284" t="s">
        <v>34</v>
      </c>
      <c r="R284">
        <v>360</v>
      </c>
      <c r="S284">
        <v>616</v>
      </c>
      <c r="T284">
        <v>460</v>
      </c>
    </row>
    <row r="285" spans="15:20" x14ac:dyDescent="0.3">
      <c r="O285">
        <v>284</v>
      </c>
      <c r="P285" t="s">
        <v>202</v>
      </c>
      <c r="Q285" t="s">
        <v>37</v>
      </c>
      <c r="R285">
        <v>531</v>
      </c>
      <c r="S285">
        <v>401</v>
      </c>
      <c r="T285">
        <v>505</v>
      </c>
    </row>
    <row r="286" spans="15:20" x14ac:dyDescent="0.3">
      <c r="O286">
        <v>285</v>
      </c>
      <c r="P286" t="s">
        <v>203</v>
      </c>
      <c r="Q286" t="s">
        <v>34</v>
      </c>
      <c r="R286">
        <v>0</v>
      </c>
      <c r="S286">
        <v>0</v>
      </c>
      <c r="T286">
        <v>1440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1440</v>
      </c>
    </row>
    <row r="288" spans="15:20" x14ac:dyDescent="0.3">
      <c r="O288">
        <v>287</v>
      </c>
      <c r="P288" t="s">
        <v>204</v>
      </c>
      <c r="Q288" t="s">
        <v>34</v>
      </c>
      <c r="R288">
        <v>341</v>
      </c>
      <c r="S288">
        <v>699</v>
      </c>
      <c r="T288">
        <v>397</v>
      </c>
    </row>
    <row r="289" spans="15:20" x14ac:dyDescent="0.3">
      <c r="O289">
        <v>288</v>
      </c>
      <c r="P289" t="s">
        <v>204</v>
      </c>
      <c r="Q289" t="s">
        <v>37</v>
      </c>
      <c r="R289">
        <v>410</v>
      </c>
      <c r="S289">
        <v>702</v>
      </c>
      <c r="T289">
        <v>324</v>
      </c>
    </row>
    <row r="290" spans="15:20" x14ac:dyDescent="0.3">
      <c r="O290">
        <v>289</v>
      </c>
      <c r="P290" t="s">
        <v>205</v>
      </c>
      <c r="Q290" t="s">
        <v>34</v>
      </c>
      <c r="R290">
        <v>523</v>
      </c>
      <c r="S290">
        <v>237</v>
      </c>
      <c r="T290">
        <v>677</v>
      </c>
    </row>
    <row r="291" spans="15:20" x14ac:dyDescent="0.3">
      <c r="O291">
        <v>290</v>
      </c>
      <c r="P291" t="s">
        <v>205</v>
      </c>
      <c r="Q291" t="s">
        <v>37</v>
      </c>
      <c r="R291">
        <v>182</v>
      </c>
      <c r="S291">
        <v>719</v>
      </c>
      <c r="T291">
        <v>536</v>
      </c>
    </row>
    <row r="292" spans="15:20" x14ac:dyDescent="0.3">
      <c r="O292">
        <v>291</v>
      </c>
      <c r="P292" t="s">
        <v>206</v>
      </c>
      <c r="Q292" t="s">
        <v>34</v>
      </c>
      <c r="R292">
        <v>458</v>
      </c>
      <c r="S292">
        <v>582</v>
      </c>
      <c r="T292">
        <v>396</v>
      </c>
    </row>
    <row r="293" spans="15:20" x14ac:dyDescent="0.3">
      <c r="O293">
        <v>292</v>
      </c>
      <c r="P293" t="s">
        <v>206</v>
      </c>
      <c r="Q293" t="s">
        <v>37</v>
      </c>
      <c r="R293">
        <v>195</v>
      </c>
      <c r="S293">
        <v>904</v>
      </c>
      <c r="T293">
        <v>338</v>
      </c>
    </row>
    <row r="294" spans="15:20" x14ac:dyDescent="0.3">
      <c r="O294">
        <v>293</v>
      </c>
      <c r="P294" t="s">
        <v>207</v>
      </c>
      <c r="Q294" t="s">
        <v>34</v>
      </c>
      <c r="R294">
        <v>357</v>
      </c>
      <c r="S294">
        <v>684</v>
      </c>
      <c r="T294">
        <v>396</v>
      </c>
    </row>
    <row r="295" spans="15:20" x14ac:dyDescent="0.3">
      <c r="O295">
        <v>294</v>
      </c>
      <c r="P295" t="s">
        <v>207</v>
      </c>
      <c r="Q295" t="s">
        <v>37</v>
      </c>
      <c r="R295">
        <v>270</v>
      </c>
      <c r="S295">
        <v>835</v>
      </c>
      <c r="T295">
        <v>331</v>
      </c>
    </row>
    <row r="296" spans="15:20" x14ac:dyDescent="0.3">
      <c r="O296">
        <v>295</v>
      </c>
      <c r="P296" t="s">
        <v>208</v>
      </c>
      <c r="Q296" t="s">
        <v>34</v>
      </c>
      <c r="R296">
        <v>401</v>
      </c>
      <c r="S296">
        <v>639</v>
      </c>
      <c r="T296">
        <v>398</v>
      </c>
    </row>
    <row r="297" spans="15:20" x14ac:dyDescent="0.3">
      <c r="O297">
        <v>296</v>
      </c>
      <c r="P297" t="s">
        <v>208</v>
      </c>
      <c r="Q297" t="s">
        <v>37</v>
      </c>
      <c r="R297">
        <v>240</v>
      </c>
      <c r="S297">
        <v>861</v>
      </c>
      <c r="T297">
        <v>335</v>
      </c>
    </row>
    <row r="298" spans="15:20" x14ac:dyDescent="0.3">
      <c r="O298">
        <v>297</v>
      </c>
      <c r="P298" t="s">
        <v>209</v>
      </c>
      <c r="Q298" t="s">
        <v>34</v>
      </c>
      <c r="R298">
        <v>346</v>
      </c>
      <c r="S298">
        <v>627</v>
      </c>
      <c r="T298">
        <v>462</v>
      </c>
    </row>
    <row r="299" spans="15:20" x14ac:dyDescent="0.3">
      <c r="O299">
        <v>298</v>
      </c>
      <c r="P299" t="s">
        <v>209</v>
      </c>
      <c r="Q299" t="s">
        <v>37</v>
      </c>
      <c r="R299">
        <v>326</v>
      </c>
      <c r="S299">
        <v>600</v>
      </c>
      <c r="T299">
        <v>511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1402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1440</v>
      </c>
    </row>
    <row r="302" spans="15:20" x14ac:dyDescent="0.3">
      <c r="O302">
        <v>301</v>
      </c>
      <c r="P302" t="s">
        <v>33</v>
      </c>
      <c r="Q302" t="s">
        <v>34</v>
      </c>
      <c r="R302">
        <v>318</v>
      </c>
      <c r="S302">
        <v>715</v>
      </c>
      <c r="T302">
        <v>402</v>
      </c>
    </row>
    <row r="303" spans="15:20" x14ac:dyDescent="0.3">
      <c r="O303">
        <v>302</v>
      </c>
      <c r="P303" t="s">
        <v>33</v>
      </c>
      <c r="Q303" t="s">
        <v>37</v>
      </c>
      <c r="R303">
        <v>308</v>
      </c>
      <c r="S303">
        <v>809</v>
      </c>
      <c r="T303">
        <v>321</v>
      </c>
    </row>
    <row r="304" spans="15:20" x14ac:dyDescent="0.3">
      <c r="O304">
        <v>303</v>
      </c>
      <c r="P304" t="s">
        <v>39</v>
      </c>
      <c r="Q304" t="s">
        <v>34</v>
      </c>
      <c r="R304">
        <v>383</v>
      </c>
      <c r="S304">
        <v>648</v>
      </c>
      <c r="T304">
        <v>405</v>
      </c>
    </row>
    <row r="305" spans="15:20" x14ac:dyDescent="0.3">
      <c r="O305">
        <v>304</v>
      </c>
      <c r="P305" t="s">
        <v>39</v>
      </c>
      <c r="Q305" t="s">
        <v>37</v>
      </c>
      <c r="R305">
        <v>338</v>
      </c>
      <c r="S305">
        <v>782</v>
      </c>
      <c r="T305">
        <v>315</v>
      </c>
    </row>
    <row r="306" spans="15:20" x14ac:dyDescent="0.3">
      <c r="O306">
        <v>305</v>
      </c>
      <c r="P306" t="s">
        <v>43</v>
      </c>
      <c r="Q306" t="s">
        <v>34</v>
      </c>
      <c r="R306">
        <v>338</v>
      </c>
      <c r="S306">
        <v>696</v>
      </c>
      <c r="T306">
        <v>402</v>
      </c>
    </row>
    <row r="307" spans="15:20" x14ac:dyDescent="0.3">
      <c r="O307">
        <v>306</v>
      </c>
      <c r="P307" t="s">
        <v>43</v>
      </c>
      <c r="Q307" t="s">
        <v>37</v>
      </c>
      <c r="R307">
        <v>345</v>
      </c>
      <c r="S307">
        <v>765</v>
      </c>
      <c r="T307">
        <v>326</v>
      </c>
    </row>
    <row r="308" spans="15:20" x14ac:dyDescent="0.3">
      <c r="O308">
        <v>307</v>
      </c>
      <c r="P308" t="s">
        <v>48</v>
      </c>
      <c r="Q308" t="s">
        <v>34</v>
      </c>
      <c r="R308">
        <v>228</v>
      </c>
      <c r="S308">
        <v>807</v>
      </c>
      <c r="T308">
        <v>401</v>
      </c>
    </row>
    <row r="309" spans="15:20" x14ac:dyDescent="0.3">
      <c r="O309">
        <v>308</v>
      </c>
      <c r="P309" t="s">
        <v>48</v>
      </c>
      <c r="Q309" t="s">
        <v>37</v>
      </c>
      <c r="R309">
        <v>273</v>
      </c>
      <c r="S309">
        <v>843</v>
      </c>
      <c r="T309">
        <v>320</v>
      </c>
    </row>
    <row r="310" spans="15:20" x14ac:dyDescent="0.3">
      <c r="O310">
        <v>309</v>
      </c>
      <c r="P310" t="s">
        <v>52</v>
      </c>
      <c r="Q310" t="s">
        <v>34</v>
      </c>
      <c r="R310">
        <v>211</v>
      </c>
      <c r="S310">
        <v>822</v>
      </c>
      <c r="T310">
        <v>403</v>
      </c>
    </row>
    <row r="311" spans="15:20" x14ac:dyDescent="0.3">
      <c r="O311">
        <v>310</v>
      </c>
      <c r="P311" t="s">
        <v>52</v>
      </c>
      <c r="Q311" t="s">
        <v>37</v>
      </c>
      <c r="R311">
        <v>324</v>
      </c>
      <c r="S311">
        <v>792</v>
      </c>
      <c r="T311">
        <v>320</v>
      </c>
    </row>
    <row r="312" spans="15:20" x14ac:dyDescent="0.3">
      <c r="O312">
        <v>311</v>
      </c>
      <c r="P312" t="s">
        <v>56</v>
      </c>
      <c r="Q312" t="s">
        <v>34</v>
      </c>
      <c r="R312">
        <v>290</v>
      </c>
      <c r="S312">
        <v>687</v>
      </c>
      <c r="T312">
        <v>460</v>
      </c>
    </row>
    <row r="313" spans="15:20" x14ac:dyDescent="0.3">
      <c r="O313">
        <v>312</v>
      </c>
      <c r="P313" t="s">
        <v>56</v>
      </c>
      <c r="Q313" t="s">
        <v>37</v>
      </c>
      <c r="R313">
        <v>265</v>
      </c>
      <c r="S313">
        <v>667</v>
      </c>
      <c r="T313">
        <v>503</v>
      </c>
    </row>
    <row r="314" spans="15:20" x14ac:dyDescent="0.3">
      <c r="O314">
        <v>313</v>
      </c>
      <c r="P314" t="s">
        <v>60</v>
      </c>
      <c r="Q314" t="s">
        <v>34</v>
      </c>
      <c r="R314">
        <v>0</v>
      </c>
      <c r="S314">
        <v>0</v>
      </c>
      <c r="T314">
        <v>1440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1440</v>
      </c>
    </row>
    <row r="316" spans="15:20" x14ac:dyDescent="0.3">
      <c r="O316">
        <v>315</v>
      </c>
      <c r="P316" t="s">
        <v>62</v>
      </c>
      <c r="Q316" t="s">
        <v>34</v>
      </c>
      <c r="R316">
        <v>226</v>
      </c>
      <c r="S316">
        <v>803</v>
      </c>
      <c r="T316">
        <v>407</v>
      </c>
    </row>
    <row r="317" spans="15:20" x14ac:dyDescent="0.3">
      <c r="O317">
        <v>316</v>
      </c>
      <c r="P317" t="s">
        <v>62</v>
      </c>
      <c r="Q317" t="s">
        <v>37</v>
      </c>
      <c r="R317">
        <v>400</v>
      </c>
      <c r="S317">
        <v>709</v>
      </c>
      <c r="T317">
        <v>326</v>
      </c>
    </row>
    <row r="318" spans="15:20" x14ac:dyDescent="0.3">
      <c r="O318">
        <v>317</v>
      </c>
      <c r="P318" t="s">
        <v>64</v>
      </c>
      <c r="Q318" t="s">
        <v>34</v>
      </c>
      <c r="R318">
        <v>243</v>
      </c>
      <c r="S318">
        <v>776</v>
      </c>
      <c r="T318">
        <v>419</v>
      </c>
    </row>
    <row r="319" spans="15:20" x14ac:dyDescent="0.3">
      <c r="O319">
        <v>318</v>
      </c>
      <c r="P319" t="s">
        <v>64</v>
      </c>
      <c r="Q319" t="s">
        <v>37</v>
      </c>
      <c r="R319">
        <v>219</v>
      </c>
      <c r="S319">
        <v>892</v>
      </c>
      <c r="T319">
        <v>325</v>
      </c>
    </row>
    <row r="320" spans="15:20" x14ac:dyDescent="0.3">
      <c r="O320">
        <v>319</v>
      </c>
      <c r="P320" t="s">
        <v>66</v>
      </c>
      <c r="Q320" t="s">
        <v>34</v>
      </c>
      <c r="R320">
        <v>290</v>
      </c>
      <c r="S320">
        <v>740</v>
      </c>
      <c r="T320">
        <v>405</v>
      </c>
    </row>
    <row r="321" spans="15:20" x14ac:dyDescent="0.3">
      <c r="O321">
        <v>320</v>
      </c>
      <c r="P321" t="s">
        <v>66</v>
      </c>
      <c r="Q321" t="s">
        <v>37</v>
      </c>
      <c r="R321">
        <v>361</v>
      </c>
      <c r="S321">
        <v>857</v>
      </c>
      <c r="T321">
        <v>219</v>
      </c>
    </row>
    <row r="322" spans="15:20" x14ac:dyDescent="0.3">
      <c r="O322">
        <v>321</v>
      </c>
      <c r="P322" t="s">
        <v>68</v>
      </c>
      <c r="Q322" t="s">
        <v>34</v>
      </c>
      <c r="R322">
        <v>514</v>
      </c>
      <c r="S322">
        <v>723</v>
      </c>
      <c r="T322">
        <v>200</v>
      </c>
    </row>
    <row r="323" spans="15:20" x14ac:dyDescent="0.3">
      <c r="O323">
        <v>322</v>
      </c>
      <c r="P323" t="s">
        <v>68</v>
      </c>
      <c r="Q323" t="s">
        <v>37</v>
      </c>
      <c r="R323">
        <v>272</v>
      </c>
      <c r="S323">
        <v>779</v>
      </c>
      <c r="T323">
        <v>386</v>
      </c>
    </row>
    <row r="324" spans="15:20" x14ac:dyDescent="0.3">
      <c r="O324">
        <v>323</v>
      </c>
      <c r="P324" t="s">
        <v>70</v>
      </c>
      <c r="Q324" t="s">
        <v>34</v>
      </c>
      <c r="R324">
        <v>232</v>
      </c>
      <c r="S324">
        <v>804</v>
      </c>
      <c r="T324">
        <v>401</v>
      </c>
    </row>
    <row r="325" spans="15:20" x14ac:dyDescent="0.3">
      <c r="O325">
        <v>324</v>
      </c>
      <c r="P325" t="s">
        <v>70</v>
      </c>
      <c r="Q325" t="s">
        <v>37</v>
      </c>
      <c r="R325">
        <v>118</v>
      </c>
      <c r="S325">
        <v>872</v>
      </c>
      <c r="T325">
        <v>447</v>
      </c>
    </row>
    <row r="326" spans="15:20" x14ac:dyDescent="0.3">
      <c r="O326">
        <v>325</v>
      </c>
      <c r="P326" t="s">
        <v>72</v>
      </c>
      <c r="Q326" t="s">
        <v>34</v>
      </c>
      <c r="R326">
        <v>292</v>
      </c>
      <c r="S326">
        <v>678</v>
      </c>
      <c r="T326">
        <v>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326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160</v>
      </c>
      <c r="E2">
        <v>356</v>
      </c>
      <c r="F2">
        <v>922</v>
      </c>
      <c r="H2" t="s">
        <v>35</v>
      </c>
      <c r="I2" s="1">
        <v>0.24411764705882349</v>
      </c>
      <c r="J2" s="1">
        <v>0.25118421052631579</v>
      </c>
      <c r="K2" s="1">
        <f>IFERROR(SUMIFS(S:S,P:P,"*/01/2026")/(SUMIFS(R:R,P:P,"*/01/2026")+SUMIFS(S:S,P:P,"*/01/2026")+SUMIFS(T:T,P:P,"*/01/2026")),"")</f>
        <v>0.16167556523800386</v>
      </c>
      <c r="L2" s="1">
        <f>IFERROR(SUMIFS(R:R,P:P,"*/01/2026")/(SUMIFS(R:R,P:P,"*/01/2026")+SUMIFS(S:S,P:P,"*/01/2026")+SUMIFS(T:T,P:P,"*/01/2026")),"")</f>
        <v>0.1654795633868</v>
      </c>
      <c r="M2" s="1">
        <f>IFERROR(SUMIFS(T:T,P:P,"*/01/2026")/(SUMIFS(R:R,P:P,"*/01/2026")+SUMIFS(S:S,P:P,"*/01/2026")+SUMIFS(T:T,P:P,"*/01/2026")),"")</f>
        <v>0.67284487137519611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161</v>
      </c>
      <c r="E3">
        <v>287</v>
      </c>
      <c r="F3">
        <v>993</v>
      </c>
      <c r="H3" t="s">
        <v>38</v>
      </c>
      <c r="I3" s="1">
        <v>0.24411764705882349</v>
      </c>
      <c r="J3" s="1">
        <v>0.25118421052631579</v>
      </c>
      <c r="K3" s="1">
        <f>IFERROR(SUMIFS(S:S,P:P,"*/02/2026")/(SUMIFS(R:R,P:P,"*/02/2026")+SUMIFS(S:S,P:P,"*/02/2026")+SUMIFS(T:T,P:P,"*/02/2026")),"")</f>
        <v>0.12839104577679003</v>
      </c>
      <c r="L3" s="1">
        <f>IFERROR(SUMIFS(R:R,P:P,"*/02/2026")/(SUMIFS(R:R,P:P,"*/02/2026")+SUMIFS(S:S,P:P,"*/02/2026")+SUMIFS(T:T,P:P,"*/02/2026")),"")</f>
        <v>0.12169896825298288</v>
      </c>
      <c r="M3" s="1">
        <f>IFERROR(SUMIFS(T:T,P:P,"*/02/2026")/(SUMIFS(R:R,P:P,"*/02/2026")+SUMIFS(S:S,P:P,"*/02/2026")+SUMIFS(T:T,P:P,"*/02/2026")),"")</f>
        <v>0.74990998597022707</v>
      </c>
      <c r="O3">
        <v>2</v>
      </c>
      <c r="P3" t="s">
        <v>36</v>
      </c>
      <c r="Q3" t="s">
        <v>37</v>
      </c>
      <c r="R3">
        <v>65</v>
      </c>
      <c r="S3">
        <v>7</v>
      </c>
      <c r="T3">
        <v>1367</v>
      </c>
    </row>
    <row r="4" spans="1:20" x14ac:dyDescent="0.3">
      <c r="A4">
        <v>3</v>
      </c>
      <c r="B4" t="s">
        <v>39</v>
      </c>
      <c r="C4" t="s">
        <v>34</v>
      </c>
      <c r="D4">
        <v>236</v>
      </c>
      <c r="E4">
        <v>280</v>
      </c>
      <c r="F4">
        <v>922</v>
      </c>
      <c r="H4" t="s">
        <v>40</v>
      </c>
      <c r="I4" s="1">
        <v>0.24411764705882349</v>
      </c>
      <c r="J4" s="1">
        <v>0.25118421052631579</v>
      </c>
      <c r="K4" s="1">
        <f>IFERROR(SUMIFS(S:S,P:P,"*/03/2026")/(SUMIFS(R:R,P:P,"*/03/2026")+SUMIFS(S:S,P:P,"*/03/2026")+SUMIFS(T:T,P:P,"*/03/2026")),"")</f>
        <v>0.2481571361839332</v>
      </c>
      <c r="L4" s="1">
        <f>IFERROR(SUMIFS(R:R,P:P,"*/03/2026")/(SUMIFS(R:R,P:P,"*/03/2026")+SUMIFS(S:S,P:P,"*/03/2026")+SUMIFS(T:T,P:P,"*/03/2026")),"")</f>
        <v>0.20964783356689567</v>
      </c>
      <c r="M4" s="1">
        <f>IFERROR(SUMIFS(T:T,P:P,"*/03/2026")/(SUMIFS(R:R,P:P,"*/03/2026")+SUMIFS(S:S,P:P,"*/03/2026")+SUMIFS(T:T,P:P,"*/03/2026")),"")</f>
        <v>0.54219503024917115</v>
      </c>
      <c r="O4">
        <v>3</v>
      </c>
      <c r="P4" t="s">
        <v>41</v>
      </c>
      <c r="Q4" t="s">
        <v>34</v>
      </c>
      <c r="R4">
        <v>463</v>
      </c>
      <c r="S4">
        <v>341</v>
      </c>
      <c r="T4">
        <v>632</v>
      </c>
    </row>
    <row r="5" spans="1:20" x14ac:dyDescent="0.3">
      <c r="A5">
        <v>4</v>
      </c>
      <c r="B5" t="s">
        <v>39</v>
      </c>
      <c r="C5" t="s">
        <v>37</v>
      </c>
      <c r="D5">
        <v>231</v>
      </c>
      <c r="E5">
        <v>207</v>
      </c>
      <c r="F5">
        <v>1001</v>
      </c>
      <c r="H5" t="s">
        <v>42</v>
      </c>
      <c r="I5" s="1">
        <v>0.24411764705882349</v>
      </c>
      <c r="J5" s="1">
        <v>0.25118421052631579</v>
      </c>
      <c r="K5" s="1">
        <f>IFERROR(SUMIFS(S:S,P:P,"*/04/2026")/(SUMIFS(R:R,P:P,"*/04/2026")+SUMIFS(S:S,P:P,"*/04/2026")+SUMIFS(T:T,P:P,"*/04/2026")),"")</f>
        <v>0.22844057971014492</v>
      </c>
      <c r="L5" s="1">
        <f>IFERROR(SUMIFS(R:R,P:P,"*/04/2026")/(SUMIFS(R:R,P:P,"*/04/2026")+SUMIFS(S:S,P:P,"*/04/2026")+SUMIFS(T:T,P:P,"*/04/2026")),"")</f>
        <v>0.19518840579710145</v>
      </c>
      <c r="M5" s="1">
        <f>IFERROR(SUMIFS(T:T,P:P,"*/04/2026")/(SUMIFS(R:R,P:P,"*/04/2026")+SUMIFS(S:S,P:P,"*/04/2026")+SUMIFS(T:T,P:P,"*/04/2026")),"")</f>
        <v>0.57637101449275363</v>
      </c>
      <c r="O5">
        <v>4</v>
      </c>
      <c r="P5" t="s">
        <v>41</v>
      </c>
      <c r="Q5" t="s">
        <v>37</v>
      </c>
      <c r="R5">
        <v>212</v>
      </c>
      <c r="S5">
        <v>174</v>
      </c>
      <c r="T5">
        <v>1052</v>
      </c>
    </row>
    <row r="6" spans="1:20" x14ac:dyDescent="0.3">
      <c r="A6">
        <v>5</v>
      </c>
      <c r="B6" t="s">
        <v>43</v>
      </c>
      <c r="C6" t="s">
        <v>34</v>
      </c>
      <c r="D6">
        <v>236</v>
      </c>
      <c r="E6">
        <v>279</v>
      </c>
      <c r="F6">
        <v>923</v>
      </c>
      <c r="H6" t="s">
        <v>44</v>
      </c>
      <c r="I6" s="1">
        <v>0.24411764705882349</v>
      </c>
      <c r="J6" s="1">
        <v>0.25118421052631579</v>
      </c>
      <c r="K6" s="1">
        <f>IFERROR(SUMIFS(S:S,P:P,"*/05/2026")/(SUMIFS(R:R,P:P,"*/05/2026")+SUMIFS(S:S,P:P,"*/05/2026")+SUMIFS(T:T,P:P,"*/05/2026")),"")</f>
        <v>0.27819658522357588</v>
      </c>
      <c r="L6" s="1">
        <f>IFERROR(SUMIFS(R:R,P:P,"*/05/2026")/(SUMIFS(R:R,P:P,"*/05/2026")+SUMIFS(S:S,P:P,"*/05/2026")+SUMIFS(T:T,P:P,"*/05/2026")),"")</f>
        <v>0.15990217854658859</v>
      </c>
      <c r="M6" s="1">
        <f>IFERROR(SUMIFS(T:T,P:P,"*/05/2026")/(SUMIFS(R:R,P:P,"*/05/2026")+SUMIFS(S:S,P:P,"*/05/2026")+SUMIFS(T:T,P:P,"*/05/2026")),"")</f>
        <v>0.56190123622983557</v>
      </c>
      <c r="O6">
        <v>5</v>
      </c>
      <c r="P6" t="s">
        <v>45</v>
      </c>
      <c r="Q6" t="s">
        <v>37</v>
      </c>
      <c r="R6">
        <v>581</v>
      </c>
      <c r="S6">
        <v>421</v>
      </c>
      <c r="T6">
        <v>1335</v>
      </c>
    </row>
    <row r="7" spans="1:20" x14ac:dyDescent="0.3">
      <c r="A7">
        <v>6</v>
      </c>
      <c r="B7" t="s">
        <v>43</v>
      </c>
      <c r="C7" t="s">
        <v>37</v>
      </c>
      <c r="D7">
        <v>174</v>
      </c>
      <c r="E7">
        <v>266</v>
      </c>
      <c r="F7">
        <v>999</v>
      </c>
      <c r="H7" t="s">
        <v>46</v>
      </c>
      <c r="I7" s="1">
        <v>0.24411764705882349</v>
      </c>
      <c r="J7" s="1">
        <v>0.25118421052631579</v>
      </c>
      <c r="K7" s="1">
        <f>IFERROR(SUMIFS(S:S,P:P,"*/06/2026")/(SUMIFS(R:R,P:P,"*/06/2026")+SUMIFS(S:S,P:P,"*/06/2026")+SUMIFS(T:T,P:P,"*/06/2026")),"")</f>
        <v>0.2034812590368146</v>
      </c>
      <c r="L7" s="1">
        <f>IFERROR(SUMIFS(R:R,P:P,"*/06/2026")/(SUMIFS(R:R,P:P,"*/06/2026")+SUMIFS(S:S,P:P,"*/06/2026")+SUMIFS(T:T,P:P,"*/06/2026")),"")</f>
        <v>0.13029696363029697</v>
      </c>
      <c r="M7" s="1">
        <f>IFERROR(SUMIFS(T:T,P:P,"*/06/2026")/(SUMIFS(R:R,P:P,"*/06/2026")+SUMIFS(S:S,P:P,"*/06/2026")+SUMIFS(T:T,P:P,"*/06/2026")),"")</f>
        <v>0.66622177733288845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219</v>
      </c>
      <c r="E8">
        <v>297</v>
      </c>
      <c r="F8">
        <v>922</v>
      </c>
      <c r="H8" t="s">
        <v>49</v>
      </c>
      <c r="I8" s="1">
        <v>0.24411764705882349</v>
      </c>
      <c r="J8" s="1">
        <v>0.25118421052631579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218</v>
      </c>
      <c r="E9">
        <v>223</v>
      </c>
      <c r="F9">
        <v>998</v>
      </c>
      <c r="H9" t="s">
        <v>50</v>
      </c>
      <c r="I9" s="1">
        <v>0.24411764705882349</v>
      </c>
      <c r="J9" s="1">
        <v>0.25118421052631579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263</v>
      </c>
      <c r="S9">
        <v>257</v>
      </c>
      <c r="T9">
        <v>919</v>
      </c>
    </row>
    <row r="10" spans="1:20" x14ac:dyDescent="0.3">
      <c r="A10">
        <v>9</v>
      </c>
      <c r="B10" t="s">
        <v>52</v>
      </c>
      <c r="C10" t="s">
        <v>34</v>
      </c>
      <c r="D10">
        <v>145</v>
      </c>
      <c r="E10">
        <v>371</v>
      </c>
      <c r="F10">
        <v>922</v>
      </c>
      <c r="H10" t="s">
        <v>53</v>
      </c>
      <c r="I10" s="1">
        <v>0.24411764705882349</v>
      </c>
      <c r="J10" s="1">
        <v>0.25118421052631579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319</v>
      </c>
      <c r="S10">
        <v>228</v>
      </c>
      <c r="T10">
        <v>873</v>
      </c>
    </row>
    <row r="11" spans="1:20" x14ac:dyDescent="0.3">
      <c r="A11">
        <v>10</v>
      </c>
      <c r="B11" t="s">
        <v>52</v>
      </c>
      <c r="C11" t="s">
        <v>37</v>
      </c>
      <c r="D11">
        <v>226</v>
      </c>
      <c r="E11">
        <v>212</v>
      </c>
      <c r="F11">
        <v>1000</v>
      </c>
      <c r="H11" t="s">
        <v>54</v>
      </c>
      <c r="I11" s="1">
        <v>0.24411764705882349</v>
      </c>
      <c r="J11" s="1">
        <v>0.25118421052631579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283</v>
      </c>
      <c r="S11">
        <v>293</v>
      </c>
      <c r="T11">
        <v>862</v>
      </c>
    </row>
    <row r="12" spans="1:20" x14ac:dyDescent="0.3">
      <c r="A12">
        <v>11</v>
      </c>
      <c r="B12" t="s">
        <v>56</v>
      </c>
      <c r="C12" t="s">
        <v>34</v>
      </c>
      <c r="D12">
        <v>192</v>
      </c>
      <c r="E12">
        <v>301</v>
      </c>
      <c r="F12">
        <v>945</v>
      </c>
      <c r="H12" t="s">
        <v>57</v>
      </c>
      <c r="I12" s="1">
        <v>0.24411764705882349</v>
      </c>
      <c r="J12" s="1">
        <v>0.25118421052631579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336</v>
      </c>
      <c r="S12">
        <v>292</v>
      </c>
      <c r="T12">
        <v>808</v>
      </c>
    </row>
    <row r="13" spans="1:20" x14ac:dyDescent="0.3">
      <c r="A13">
        <v>12</v>
      </c>
      <c r="B13" t="s">
        <v>56</v>
      </c>
      <c r="C13" t="s">
        <v>37</v>
      </c>
      <c r="D13">
        <v>424</v>
      </c>
      <c r="E13">
        <v>519</v>
      </c>
      <c r="F13">
        <v>495</v>
      </c>
      <c r="H13" t="s">
        <v>58</v>
      </c>
      <c r="I13" s="1">
        <v>0.24411764705882349</v>
      </c>
      <c r="J13" s="1">
        <v>0.25118421052631579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80</v>
      </c>
      <c r="S13">
        <v>51</v>
      </c>
      <c r="T13">
        <v>1308</v>
      </c>
    </row>
    <row r="14" spans="1:20" x14ac:dyDescent="0.3">
      <c r="A14">
        <v>13</v>
      </c>
      <c r="B14" t="s">
        <v>60</v>
      </c>
      <c r="C14" t="s">
        <v>34</v>
      </c>
      <c r="D14">
        <v>0</v>
      </c>
      <c r="E14">
        <v>0</v>
      </c>
      <c r="F14">
        <v>1440</v>
      </c>
      <c r="H14" t="str">
        <f>IF(B2="","",TEXT(B2,"dd/mm")&amp; "-" &amp;IF(UPPER(TRIM(C2))="CN",1,IF(UPPER(TRIM(C2))="CD",2,"")))</f>
        <v>01/06-1</v>
      </c>
      <c r="I14" s="1">
        <v>0.24411764705882349</v>
      </c>
      <c r="J14" s="1">
        <v>0.25118421052631579</v>
      </c>
      <c r="K14" s="1">
        <f t="shared" ref="K14:K45" si="0">IFERROR($E2/SUM($D2:$F2),"")</f>
        <v>0.24756606397774686</v>
      </c>
      <c r="L14" s="1">
        <f t="shared" ref="L14:L45" si="1">IFERROR($D2/SUM($D2:$F2),"")</f>
        <v>0.11126564673157163</v>
      </c>
      <c r="M14" s="1">
        <f t="shared" ref="M14:M45" si="2">IFERROR($F2/SUM($D2:$F2),"")</f>
        <v>0.64116828929068148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1440</v>
      </c>
      <c r="H15" t="str">
        <f t="shared" ref="H15:H46" si="3">IF(B3="","",TEXT(B3,"dd/mm") &amp; "-" &amp; IF(UPPER(TRIM(C3))="CN",1,IF(UPPER(TRIM(C3))="CD",2,"")))</f>
        <v>01/06-2</v>
      </c>
      <c r="I15" s="1">
        <v>0.24411764705882349</v>
      </c>
      <c r="J15" s="1">
        <v>0.25118421052631579</v>
      </c>
      <c r="K15" s="1">
        <f t="shared" si="0"/>
        <v>0.1991672449687717</v>
      </c>
      <c r="L15" s="1">
        <f t="shared" si="1"/>
        <v>0.11172796668979876</v>
      </c>
      <c r="M15" s="1">
        <f t="shared" si="2"/>
        <v>0.68910478834142952</v>
      </c>
      <c r="O15">
        <v>14</v>
      </c>
      <c r="P15" t="s">
        <v>61</v>
      </c>
      <c r="Q15" t="s">
        <v>34</v>
      </c>
      <c r="R15">
        <v>278</v>
      </c>
      <c r="S15">
        <v>298</v>
      </c>
      <c r="T15">
        <v>861</v>
      </c>
    </row>
    <row r="16" spans="1:20" x14ac:dyDescent="0.3">
      <c r="A16">
        <v>15</v>
      </c>
      <c r="B16" t="s">
        <v>62</v>
      </c>
      <c r="C16" t="s">
        <v>34</v>
      </c>
      <c r="D16">
        <v>231</v>
      </c>
      <c r="E16">
        <v>285</v>
      </c>
      <c r="F16">
        <v>923</v>
      </c>
      <c r="H16" t="str">
        <f t="shared" si="3"/>
        <v>02/06-1</v>
      </c>
      <c r="I16" s="1">
        <v>0.24411764705882349</v>
      </c>
      <c r="J16" s="1">
        <v>0.25118421052631579</v>
      </c>
      <c r="K16" s="1">
        <f t="shared" si="0"/>
        <v>0.19471488178025034</v>
      </c>
      <c r="L16" s="1">
        <f t="shared" si="1"/>
        <v>0.16411682892906815</v>
      </c>
      <c r="M16" s="1">
        <f t="shared" si="2"/>
        <v>0.64116828929068148</v>
      </c>
      <c r="O16">
        <v>15</v>
      </c>
      <c r="P16" t="s">
        <v>61</v>
      </c>
      <c r="Q16" t="s">
        <v>37</v>
      </c>
      <c r="R16">
        <v>313</v>
      </c>
      <c r="S16">
        <v>320</v>
      </c>
      <c r="T16">
        <v>805</v>
      </c>
    </row>
    <row r="17" spans="1:20" x14ac:dyDescent="0.3">
      <c r="A17">
        <v>16</v>
      </c>
      <c r="B17" t="s">
        <v>62</v>
      </c>
      <c r="C17" t="s">
        <v>37</v>
      </c>
      <c r="D17">
        <v>151</v>
      </c>
      <c r="E17">
        <v>404</v>
      </c>
      <c r="F17">
        <v>884</v>
      </c>
      <c r="H17" t="str">
        <f t="shared" si="3"/>
        <v>02/06-2</v>
      </c>
      <c r="I17" s="1">
        <v>0.24411764705882349</v>
      </c>
      <c r="J17" s="1">
        <v>0.25118421052631579</v>
      </c>
      <c r="K17" s="1">
        <f t="shared" si="0"/>
        <v>0.14384989576094509</v>
      </c>
      <c r="L17" s="1">
        <f t="shared" si="1"/>
        <v>0.16052814454482278</v>
      </c>
      <c r="M17" s="1">
        <f t="shared" si="2"/>
        <v>0.69562195969423213</v>
      </c>
      <c r="O17">
        <v>16</v>
      </c>
      <c r="P17" t="s">
        <v>63</v>
      </c>
      <c r="Q17" t="s">
        <v>34</v>
      </c>
      <c r="R17">
        <v>292</v>
      </c>
      <c r="S17">
        <v>279</v>
      </c>
      <c r="T17">
        <v>867</v>
      </c>
    </row>
    <row r="18" spans="1:20" x14ac:dyDescent="0.3">
      <c r="A18">
        <v>17</v>
      </c>
      <c r="B18" t="s">
        <v>64</v>
      </c>
      <c r="C18" t="s">
        <v>34</v>
      </c>
      <c r="D18">
        <v>207</v>
      </c>
      <c r="E18">
        <v>308</v>
      </c>
      <c r="F18">
        <v>924</v>
      </c>
      <c r="H18" t="str">
        <f t="shared" si="3"/>
        <v>03/06-1</v>
      </c>
      <c r="I18" s="1">
        <v>0.24411764705882349</v>
      </c>
      <c r="J18" s="1">
        <v>0.25118421052631579</v>
      </c>
      <c r="K18" s="1">
        <f t="shared" si="0"/>
        <v>0.19401947148817802</v>
      </c>
      <c r="L18" s="1">
        <f t="shared" si="1"/>
        <v>0.16411682892906815</v>
      </c>
      <c r="M18" s="1">
        <f t="shared" si="2"/>
        <v>0.6418636995827538</v>
      </c>
      <c r="O18">
        <v>17</v>
      </c>
      <c r="P18" t="s">
        <v>63</v>
      </c>
      <c r="Q18" t="s">
        <v>37</v>
      </c>
      <c r="R18">
        <v>270</v>
      </c>
      <c r="S18">
        <v>358</v>
      </c>
      <c r="T18">
        <v>809</v>
      </c>
    </row>
    <row r="19" spans="1:20" x14ac:dyDescent="0.3">
      <c r="A19">
        <v>18</v>
      </c>
      <c r="B19" t="s">
        <v>64</v>
      </c>
      <c r="C19" t="s">
        <v>37</v>
      </c>
      <c r="D19">
        <v>158</v>
      </c>
      <c r="E19">
        <v>395</v>
      </c>
      <c r="F19">
        <v>885</v>
      </c>
      <c r="H19" t="str">
        <f t="shared" si="3"/>
        <v>03/06-2</v>
      </c>
      <c r="I19" s="1">
        <v>0.24411764705882349</v>
      </c>
      <c r="J19" s="1">
        <v>0.25118421052631579</v>
      </c>
      <c r="K19" s="1">
        <f t="shared" si="0"/>
        <v>0.18485059068797777</v>
      </c>
      <c r="L19" s="1">
        <f t="shared" si="1"/>
        <v>0.12091730368311328</v>
      </c>
      <c r="M19" s="1">
        <f t="shared" si="2"/>
        <v>0.69423210562890891</v>
      </c>
      <c r="O19">
        <v>18</v>
      </c>
      <c r="P19" t="s">
        <v>65</v>
      </c>
      <c r="Q19" t="s">
        <v>34</v>
      </c>
      <c r="R19">
        <v>216</v>
      </c>
      <c r="S19">
        <v>264</v>
      </c>
      <c r="T19">
        <v>959</v>
      </c>
    </row>
    <row r="20" spans="1:20" x14ac:dyDescent="0.3">
      <c r="A20">
        <v>19</v>
      </c>
      <c r="B20" t="s">
        <v>66</v>
      </c>
      <c r="C20" t="s">
        <v>34</v>
      </c>
      <c r="D20">
        <v>189</v>
      </c>
      <c r="E20">
        <v>318</v>
      </c>
      <c r="F20">
        <v>931</v>
      </c>
      <c r="H20" t="str">
        <f t="shared" si="3"/>
        <v>04/06-1</v>
      </c>
      <c r="I20" s="1">
        <v>0.24411764705882349</v>
      </c>
      <c r="J20" s="1">
        <v>0.25118421052631579</v>
      </c>
      <c r="K20" s="1">
        <f t="shared" si="0"/>
        <v>0.20653685674547984</v>
      </c>
      <c r="L20" s="1">
        <f t="shared" si="1"/>
        <v>0.15229485396383866</v>
      </c>
      <c r="M20" s="1">
        <f t="shared" si="2"/>
        <v>0.64116828929068148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151</v>
      </c>
      <c r="E21">
        <v>345</v>
      </c>
      <c r="F21">
        <v>943</v>
      </c>
      <c r="H21" t="str">
        <f t="shared" si="3"/>
        <v>04/06-2</v>
      </c>
      <c r="I21" s="1">
        <v>0.24411764705882349</v>
      </c>
      <c r="J21" s="1">
        <v>0.25118421052631579</v>
      </c>
      <c r="K21" s="1">
        <f t="shared" si="0"/>
        <v>0.15496872828353023</v>
      </c>
      <c r="L21" s="1">
        <f t="shared" si="1"/>
        <v>0.15149409312022238</v>
      </c>
      <c r="M21" s="1">
        <f t="shared" si="2"/>
        <v>0.69353717859624742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181</v>
      </c>
      <c r="E22">
        <v>335</v>
      </c>
      <c r="F22">
        <v>922</v>
      </c>
      <c r="H22" t="str">
        <f t="shared" si="3"/>
        <v>05/06-1</v>
      </c>
      <c r="I22" s="1">
        <v>0.24411764705882349</v>
      </c>
      <c r="J22" s="1">
        <v>0.25118421052631579</v>
      </c>
      <c r="K22" s="1">
        <f t="shared" si="0"/>
        <v>0.25799721835883171</v>
      </c>
      <c r="L22" s="1">
        <f t="shared" si="1"/>
        <v>0.10083449235048679</v>
      </c>
      <c r="M22" s="1">
        <f t="shared" si="2"/>
        <v>0.64116828929068148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A23">
        <v>22</v>
      </c>
      <c r="B23" t="s">
        <v>68</v>
      </c>
      <c r="C23" t="s">
        <v>37</v>
      </c>
      <c r="D23">
        <v>210</v>
      </c>
      <c r="E23">
        <v>345</v>
      </c>
      <c r="F23">
        <v>883</v>
      </c>
      <c r="H23" t="str">
        <f t="shared" si="3"/>
        <v>05/06-2</v>
      </c>
      <c r="I23" s="1">
        <v>0.24411764705882349</v>
      </c>
      <c r="J23" s="1">
        <v>0.25118421052631579</v>
      </c>
      <c r="K23" s="1">
        <f t="shared" si="0"/>
        <v>0.1474269819193324</v>
      </c>
      <c r="L23" s="1">
        <f t="shared" si="1"/>
        <v>0.15716272600834491</v>
      </c>
      <c r="M23" s="1">
        <f t="shared" si="2"/>
        <v>0.69541029207232263</v>
      </c>
      <c r="O23">
        <v>22</v>
      </c>
      <c r="P23" t="s">
        <v>69</v>
      </c>
      <c r="Q23" t="s">
        <v>34</v>
      </c>
      <c r="R23">
        <v>346</v>
      </c>
      <c r="S23">
        <v>189</v>
      </c>
      <c r="T23">
        <v>900</v>
      </c>
    </row>
    <row r="24" spans="1:20" x14ac:dyDescent="0.3">
      <c r="A24">
        <v>23</v>
      </c>
      <c r="B24" t="s">
        <v>70</v>
      </c>
      <c r="C24" t="s">
        <v>34</v>
      </c>
      <c r="D24">
        <v>226</v>
      </c>
      <c r="E24">
        <v>289</v>
      </c>
      <c r="F24">
        <v>923</v>
      </c>
      <c r="H24" t="str">
        <f t="shared" si="3"/>
        <v>06/06-1</v>
      </c>
      <c r="I24" s="1">
        <v>0.24411764705882349</v>
      </c>
      <c r="J24" s="1">
        <v>0.25118421052631579</v>
      </c>
      <c r="K24" s="1">
        <f t="shared" si="0"/>
        <v>0.20931849791376914</v>
      </c>
      <c r="L24" s="1">
        <f t="shared" si="1"/>
        <v>0.13351877607788595</v>
      </c>
      <c r="M24" s="1">
        <f t="shared" si="2"/>
        <v>0.65716272600834491</v>
      </c>
      <c r="O24">
        <v>23</v>
      </c>
      <c r="P24" t="s">
        <v>69</v>
      </c>
      <c r="Q24" t="s">
        <v>37</v>
      </c>
      <c r="R24">
        <v>618</v>
      </c>
      <c r="S24">
        <v>340</v>
      </c>
      <c r="T24">
        <v>479</v>
      </c>
    </row>
    <row r="25" spans="1:20" x14ac:dyDescent="0.3">
      <c r="A25">
        <v>24</v>
      </c>
      <c r="B25" t="s">
        <v>70</v>
      </c>
      <c r="C25" t="s">
        <v>37</v>
      </c>
      <c r="D25">
        <v>159</v>
      </c>
      <c r="E25">
        <v>397</v>
      </c>
      <c r="F25">
        <v>883</v>
      </c>
      <c r="H25" t="str">
        <f t="shared" si="3"/>
        <v>06/06-2</v>
      </c>
      <c r="I25" s="1">
        <v>0.24411764705882349</v>
      </c>
      <c r="J25" s="1">
        <v>0.25118421052631579</v>
      </c>
      <c r="K25" s="1">
        <f t="shared" si="0"/>
        <v>0.36091794158553547</v>
      </c>
      <c r="L25" s="1">
        <f t="shared" si="1"/>
        <v>0.2948539638386648</v>
      </c>
      <c r="M25" s="1">
        <f t="shared" si="2"/>
        <v>0.34422809457579973</v>
      </c>
      <c r="O25">
        <v>24</v>
      </c>
      <c r="P25" t="s">
        <v>71</v>
      </c>
      <c r="Q25" t="s">
        <v>34</v>
      </c>
      <c r="R25">
        <v>300</v>
      </c>
      <c r="S25">
        <v>271</v>
      </c>
      <c r="T25">
        <v>863</v>
      </c>
    </row>
    <row r="26" spans="1:20" x14ac:dyDescent="0.3">
      <c r="A26">
        <v>25</v>
      </c>
      <c r="B26" t="s">
        <v>72</v>
      </c>
      <c r="C26" t="s">
        <v>34</v>
      </c>
      <c r="D26">
        <v>201</v>
      </c>
      <c r="E26">
        <v>299</v>
      </c>
      <c r="F26">
        <v>937</v>
      </c>
      <c r="H26" t="str">
        <f t="shared" si="3"/>
        <v>07/06-1</v>
      </c>
      <c r="I26" s="1">
        <v>0.24411764705882349</v>
      </c>
      <c r="J26" s="1">
        <v>0.25118421052631579</v>
      </c>
      <c r="K26" s="1">
        <f t="shared" si="0"/>
        <v>0</v>
      </c>
      <c r="L26" s="1">
        <f t="shared" si="1"/>
        <v>0</v>
      </c>
      <c r="M26" s="1">
        <f t="shared" si="2"/>
        <v>1</v>
      </c>
      <c r="O26">
        <v>25</v>
      </c>
      <c r="P26" t="s">
        <v>71</v>
      </c>
      <c r="Q26" t="s">
        <v>37</v>
      </c>
      <c r="R26">
        <v>251</v>
      </c>
      <c r="S26">
        <v>374</v>
      </c>
      <c r="T26">
        <v>813</v>
      </c>
    </row>
    <row r="27" spans="1:20" x14ac:dyDescent="0.3">
      <c r="H27" t="str">
        <f t="shared" si="3"/>
        <v>07/06-2</v>
      </c>
      <c r="I27" s="1">
        <v>0.24411764705882349</v>
      </c>
      <c r="J27" s="1">
        <v>0.25118421052631579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356</v>
      </c>
      <c r="S27">
        <v>217</v>
      </c>
      <c r="T27">
        <v>864</v>
      </c>
    </row>
    <row r="28" spans="1:20" x14ac:dyDescent="0.3">
      <c r="H28" t="str">
        <f t="shared" si="3"/>
        <v>08/06-1</v>
      </c>
      <c r="I28" s="1">
        <v>0.24411764705882349</v>
      </c>
      <c r="J28" s="1">
        <v>0.25118421052631579</v>
      </c>
      <c r="K28" s="1">
        <f t="shared" si="0"/>
        <v>0.19805420430854762</v>
      </c>
      <c r="L28" s="1">
        <f t="shared" si="1"/>
        <v>0.16052814454482278</v>
      </c>
      <c r="M28" s="1">
        <f t="shared" si="2"/>
        <v>0.64141765114662963</v>
      </c>
      <c r="O28">
        <v>27</v>
      </c>
      <c r="P28" t="s">
        <v>73</v>
      </c>
      <c r="Q28" t="s">
        <v>37</v>
      </c>
      <c r="R28">
        <v>280</v>
      </c>
      <c r="S28">
        <v>344</v>
      </c>
      <c r="T28">
        <v>813</v>
      </c>
    </row>
    <row r="29" spans="1:20" x14ac:dyDescent="0.3">
      <c r="H29" t="str">
        <f t="shared" si="3"/>
        <v>08/06-2</v>
      </c>
      <c r="I29" s="1">
        <v>0.24411764705882349</v>
      </c>
      <c r="J29" s="1">
        <v>0.25118421052631579</v>
      </c>
      <c r="K29" s="1">
        <f t="shared" si="0"/>
        <v>0.28075052119527449</v>
      </c>
      <c r="L29" s="1">
        <f t="shared" si="1"/>
        <v>0.10493398193189715</v>
      </c>
      <c r="M29" s="1">
        <f t="shared" si="2"/>
        <v>0.61431549687282838</v>
      </c>
      <c r="O29">
        <v>28</v>
      </c>
      <c r="P29" t="s">
        <v>74</v>
      </c>
      <c r="Q29" t="s">
        <v>34</v>
      </c>
      <c r="R29">
        <v>23</v>
      </c>
      <c r="S29">
        <v>38</v>
      </c>
      <c r="T29">
        <v>1378</v>
      </c>
    </row>
    <row r="30" spans="1:20" x14ac:dyDescent="0.3">
      <c r="H30" t="str">
        <f t="shared" si="3"/>
        <v>09/06-1</v>
      </c>
      <c r="I30" s="1">
        <v>0.24411764705882349</v>
      </c>
      <c r="J30" s="1">
        <v>0.25118421052631579</v>
      </c>
      <c r="K30" s="1">
        <f t="shared" si="0"/>
        <v>0.21403752605976373</v>
      </c>
      <c r="L30" s="1">
        <f t="shared" si="1"/>
        <v>0.14384989576094509</v>
      </c>
      <c r="M30" s="1">
        <f t="shared" si="2"/>
        <v>0.64211257817929113</v>
      </c>
      <c r="O30">
        <v>29</v>
      </c>
      <c r="P30" t="s">
        <v>74</v>
      </c>
      <c r="Q30" t="s">
        <v>37</v>
      </c>
      <c r="R30">
        <v>249</v>
      </c>
      <c r="S30">
        <v>316</v>
      </c>
      <c r="T30">
        <v>873</v>
      </c>
    </row>
    <row r="31" spans="1:20" x14ac:dyDescent="0.3">
      <c r="H31" t="str">
        <f t="shared" si="3"/>
        <v>09/06-2</v>
      </c>
      <c r="I31" s="1">
        <v>0.24411764705882349</v>
      </c>
      <c r="J31" s="1">
        <v>0.25118421052631579</v>
      </c>
      <c r="K31" s="1">
        <f t="shared" si="0"/>
        <v>0.27468706536856746</v>
      </c>
      <c r="L31" s="1">
        <f t="shared" si="1"/>
        <v>0.10987482614742698</v>
      </c>
      <c r="M31" s="1">
        <f t="shared" si="2"/>
        <v>0.6154381084840056</v>
      </c>
      <c r="O31">
        <v>30</v>
      </c>
      <c r="P31" t="s">
        <v>75</v>
      </c>
      <c r="Q31" t="s">
        <v>34</v>
      </c>
      <c r="R31">
        <v>286</v>
      </c>
      <c r="S31">
        <v>290</v>
      </c>
      <c r="T31">
        <v>862</v>
      </c>
    </row>
    <row r="32" spans="1:20" x14ac:dyDescent="0.3">
      <c r="H32" t="str">
        <f t="shared" si="3"/>
        <v>10/06-1</v>
      </c>
      <c r="I32" s="1">
        <v>0.24411764705882349</v>
      </c>
      <c r="J32" s="1">
        <v>0.25118421052631579</v>
      </c>
      <c r="K32" s="1">
        <f t="shared" si="0"/>
        <v>0.2211404728789986</v>
      </c>
      <c r="L32" s="1">
        <f t="shared" si="1"/>
        <v>0.13143254520166897</v>
      </c>
      <c r="M32" s="1">
        <f t="shared" si="2"/>
        <v>0.64742698191933246</v>
      </c>
      <c r="O32">
        <v>31</v>
      </c>
      <c r="P32" t="s">
        <v>75</v>
      </c>
      <c r="Q32" t="s">
        <v>37</v>
      </c>
      <c r="R32">
        <v>207</v>
      </c>
      <c r="S32">
        <v>311</v>
      </c>
      <c r="T32">
        <v>919</v>
      </c>
    </row>
    <row r="33" spans="8:20" x14ac:dyDescent="0.3">
      <c r="H33" t="str">
        <f t="shared" si="3"/>
        <v>10/06-2</v>
      </c>
      <c r="I33" s="1">
        <v>0.24411764705882349</v>
      </c>
      <c r="J33" s="1">
        <v>0.25118421052631579</v>
      </c>
      <c r="K33" s="1">
        <f t="shared" si="0"/>
        <v>0.23974982626824184</v>
      </c>
      <c r="L33" s="1">
        <f t="shared" si="1"/>
        <v>0.10493398193189715</v>
      </c>
      <c r="M33" s="1">
        <f t="shared" si="2"/>
        <v>0.655316191799861</v>
      </c>
      <c r="O33">
        <v>32</v>
      </c>
      <c r="P33" t="s">
        <v>76</v>
      </c>
      <c r="Q33" t="s">
        <v>34</v>
      </c>
      <c r="R33">
        <v>268</v>
      </c>
      <c r="S33">
        <v>249</v>
      </c>
      <c r="T33">
        <v>920</v>
      </c>
    </row>
    <row r="34" spans="8:20" x14ac:dyDescent="0.3">
      <c r="H34" t="str">
        <f t="shared" si="3"/>
        <v>11/06-1</v>
      </c>
      <c r="I34" s="1">
        <v>0.24411764705882349</v>
      </c>
      <c r="J34" s="1">
        <v>0.25118421052631579</v>
      </c>
      <c r="K34" s="1">
        <f t="shared" si="0"/>
        <v>0.23296244784422809</v>
      </c>
      <c r="L34" s="1">
        <f t="shared" si="1"/>
        <v>0.1258692628650904</v>
      </c>
      <c r="M34" s="1">
        <f t="shared" si="2"/>
        <v>0.64116828929068148</v>
      </c>
      <c r="O34">
        <v>33</v>
      </c>
      <c r="P34" t="s">
        <v>76</v>
      </c>
      <c r="Q34" t="s">
        <v>37</v>
      </c>
      <c r="R34">
        <v>243</v>
      </c>
      <c r="S34">
        <v>293</v>
      </c>
      <c r="T34">
        <v>902</v>
      </c>
    </row>
    <row r="35" spans="8:20" x14ac:dyDescent="0.3">
      <c r="H35" t="str">
        <f t="shared" si="3"/>
        <v>11/06-2</v>
      </c>
      <c r="I35" s="1">
        <v>0.24411764705882349</v>
      </c>
      <c r="J35" s="1">
        <v>0.25118421052631579</v>
      </c>
      <c r="K35" s="1">
        <f t="shared" si="0"/>
        <v>0.23991655076495133</v>
      </c>
      <c r="L35" s="1">
        <f t="shared" si="1"/>
        <v>0.14603616133518776</v>
      </c>
      <c r="M35" s="1">
        <f t="shared" si="2"/>
        <v>0.61404728789986096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1440</v>
      </c>
    </row>
    <row r="36" spans="8:20" x14ac:dyDescent="0.3">
      <c r="H36" t="str">
        <f t="shared" si="3"/>
        <v>12/06-1</v>
      </c>
      <c r="I36" s="1">
        <v>0.24411764705882349</v>
      </c>
      <c r="J36" s="1">
        <v>0.25118421052631579</v>
      </c>
      <c r="K36" s="1">
        <f t="shared" si="0"/>
        <v>0.20097357440890126</v>
      </c>
      <c r="L36" s="1">
        <f t="shared" si="1"/>
        <v>0.15716272600834491</v>
      </c>
      <c r="M36" s="1">
        <f t="shared" si="2"/>
        <v>0.6418636995827538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1440</v>
      </c>
    </row>
    <row r="37" spans="8:20" x14ac:dyDescent="0.3">
      <c r="H37" t="str">
        <f t="shared" si="3"/>
        <v>12/06-2</v>
      </c>
      <c r="I37" s="1">
        <v>0.24411764705882349</v>
      </c>
      <c r="J37" s="1">
        <v>0.25118421052631579</v>
      </c>
      <c r="K37" s="1">
        <f t="shared" si="0"/>
        <v>0.27588603196664352</v>
      </c>
      <c r="L37" s="1">
        <f t="shared" si="1"/>
        <v>0.11049339819318972</v>
      </c>
      <c r="M37" s="1">
        <f t="shared" si="2"/>
        <v>0.61362056984016677</v>
      </c>
      <c r="O37">
        <v>36</v>
      </c>
      <c r="P37" t="s">
        <v>78</v>
      </c>
      <c r="Q37" t="s">
        <v>34</v>
      </c>
      <c r="R37">
        <v>301</v>
      </c>
      <c r="S37">
        <v>276</v>
      </c>
      <c r="T37">
        <v>861</v>
      </c>
    </row>
    <row r="38" spans="8:20" x14ac:dyDescent="0.3">
      <c r="H38" t="str">
        <f t="shared" si="3"/>
        <v>13/06-1</v>
      </c>
      <c r="I38" s="1">
        <v>0.24411764705882349</v>
      </c>
      <c r="J38" s="1">
        <v>0.25118421052631579</v>
      </c>
      <c r="K38" s="1">
        <f t="shared" si="0"/>
        <v>0.20807237299930412</v>
      </c>
      <c r="L38" s="1">
        <f t="shared" si="1"/>
        <v>0.13987473903966596</v>
      </c>
      <c r="M38" s="1">
        <f t="shared" si="2"/>
        <v>0.65205288796102989</v>
      </c>
      <c r="O38">
        <v>37</v>
      </c>
      <c r="P38" t="s">
        <v>78</v>
      </c>
      <c r="Q38" t="s">
        <v>37</v>
      </c>
      <c r="R38">
        <v>410</v>
      </c>
      <c r="S38">
        <v>340</v>
      </c>
      <c r="T38">
        <v>687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277</v>
      </c>
      <c r="S39">
        <v>302</v>
      </c>
      <c r="T39">
        <v>859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236</v>
      </c>
      <c r="S40">
        <v>320</v>
      </c>
      <c r="T40">
        <v>881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306</v>
      </c>
      <c r="S41">
        <v>272</v>
      </c>
      <c r="T41">
        <v>859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314</v>
      </c>
      <c r="S42">
        <v>310</v>
      </c>
      <c r="T42">
        <v>813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274</v>
      </c>
      <c r="S43">
        <v>297</v>
      </c>
      <c r="T43">
        <v>867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300</v>
      </c>
      <c r="S44">
        <v>321</v>
      </c>
      <c r="T44">
        <v>816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253</v>
      </c>
      <c r="S45">
        <v>323</v>
      </c>
      <c r="T45">
        <v>860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294</v>
      </c>
      <c r="S46">
        <v>325</v>
      </c>
      <c r="T46">
        <v>819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266</v>
      </c>
      <c r="S47">
        <v>217</v>
      </c>
      <c r="T47">
        <v>956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198</v>
      </c>
      <c r="S48">
        <v>265</v>
      </c>
      <c r="T48">
        <v>975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163</v>
      </c>
      <c r="S49">
        <v>321</v>
      </c>
      <c r="T49">
        <v>954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321</v>
      </c>
      <c r="S51">
        <v>254</v>
      </c>
      <c r="T51">
        <v>862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330</v>
      </c>
      <c r="S52">
        <v>350</v>
      </c>
      <c r="T52">
        <v>757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280</v>
      </c>
      <c r="S53">
        <v>293</v>
      </c>
      <c r="T53">
        <v>864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322</v>
      </c>
      <c r="S54">
        <v>355</v>
      </c>
      <c r="T54">
        <v>760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320</v>
      </c>
      <c r="S55">
        <v>254</v>
      </c>
      <c r="T55">
        <v>862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281</v>
      </c>
      <c r="S56">
        <v>404</v>
      </c>
      <c r="T56">
        <v>752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202</v>
      </c>
      <c r="S57">
        <v>292</v>
      </c>
      <c r="T57">
        <v>943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282</v>
      </c>
      <c r="S58">
        <v>287</v>
      </c>
      <c r="T58">
        <v>868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329</v>
      </c>
      <c r="S59">
        <v>282</v>
      </c>
      <c r="T59">
        <v>827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303</v>
      </c>
      <c r="S60">
        <v>318</v>
      </c>
      <c r="T60">
        <v>818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490</v>
      </c>
      <c r="S61">
        <v>268</v>
      </c>
      <c r="T61">
        <v>679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210</v>
      </c>
      <c r="S62">
        <v>262</v>
      </c>
      <c r="T62">
        <v>966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217</v>
      </c>
      <c r="S65">
        <v>248</v>
      </c>
      <c r="T65">
        <v>973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401</v>
      </c>
      <c r="S66">
        <v>250</v>
      </c>
      <c r="T66">
        <v>787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312</v>
      </c>
      <c r="S67">
        <v>270</v>
      </c>
      <c r="T67">
        <v>856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268</v>
      </c>
      <c r="S68">
        <v>359</v>
      </c>
      <c r="T68">
        <v>810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231</v>
      </c>
      <c r="S69">
        <v>349</v>
      </c>
      <c r="T69">
        <v>858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293</v>
      </c>
      <c r="S70">
        <v>333</v>
      </c>
      <c r="T70">
        <v>812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278</v>
      </c>
      <c r="S71">
        <v>299</v>
      </c>
      <c r="T71">
        <v>859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358</v>
      </c>
      <c r="S72">
        <v>274</v>
      </c>
      <c r="T72">
        <v>805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262</v>
      </c>
      <c r="S73">
        <v>317</v>
      </c>
      <c r="T73">
        <v>859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371</v>
      </c>
      <c r="S74">
        <v>250</v>
      </c>
      <c r="T74">
        <v>814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350</v>
      </c>
      <c r="S75">
        <v>594</v>
      </c>
      <c r="T75">
        <v>492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230</v>
      </c>
      <c r="S76">
        <v>246</v>
      </c>
      <c r="T76">
        <v>963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1440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1441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362</v>
      </c>
      <c r="S79">
        <v>220</v>
      </c>
      <c r="T79">
        <v>853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287</v>
      </c>
      <c r="S80">
        <v>331</v>
      </c>
      <c r="T80">
        <v>818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322</v>
      </c>
      <c r="S81">
        <v>253</v>
      </c>
      <c r="T81">
        <v>862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260</v>
      </c>
      <c r="S82">
        <v>352</v>
      </c>
      <c r="T82">
        <v>825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226</v>
      </c>
      <c r="S83">
        <v>352</v>
      </c>
      <c r="T83">
        <v>859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275</v>
      </c>
      <c r="S84">
        <v>357</v>
      </c>
      <c r="T84">
        <v>804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304</v>
      </c>
      <c r="S85">
        <v>209</v>
      </c>
      <c r="T85">
        <v>926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232</v>
      </c>
      <c r="S86">
        <v>330</v>
      </c>
      <c r="T86">
        <v>876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272</v>
      </c>
      <c r="S87">
        <v>240</v>
      </c>
      <c r="T87">
        <v>925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123</v>
      </c>
      <c r="S88">
        <v>129</v>
      </c>
      <c r="T88">
        <v>1187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1441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113</v>
      </c>
      <c r="Q107" t="s">
        <v>34</v>
      </c>
      <c r="R107">
        <v>281</v>
      </c>
      <c r="S107">
        <v>365</v>
      </c>
      <c r="T107">
        <v>790</v>
      </c>
    </row>
    <row r="108" spans="9:20" x14ac:dyDescent="0.3">
      <c r="O108">
        <v>107</v>
      </c>
      <c r="P108" t="s">
        <v>113</v>
      </c>
      <c r="Q108" t="s">
        <v>37</v>
      </c>
      <c r="R108">
        <v>264</v>
      </c>
      <c r="S108">
        <v>297</v>
      </c>
      <c r="T108">
        <v>877</v>
      </c>
    </row>
    <row r="109" spans="9:20" x14ac:dyDescent="0.3">
      <c r="O109">
        <v>108</v>
      </c>
      <c r="P109" t="s">
        <v>114</v>
      </c>
      <c r="Q109" t="s">
        <v>34</v>
      </c>
      <c r="R109">
        <v>328</v>
      </c>
      <c r="S109">
        <v>251</v>
      </c>
      <c r="T109">
        <v>858</v>
      </c>
    </row>
    <row r="110" spans="9:20" x14ac:dyDescent="0.3">
      <c r="O110">
        <v>109</v>
      </c>
      <c r="P110" t="s">
        <v>114</v>
      </c>
      <c r="Q110" t="s">
        <v>37</v>
      </c>
      <c r="R110">
        <v>297</v>
      </c>
      <c r="S110">
        <v>316</v>
      </c>
      <c r="T110">
        <v>824</v>
      </c>
    </row>
    <row r="111" spans="9:20" x14ac:dyDescent="0.3">
      <c r="O111">
        <v>110</v>
      </c>
      <c r="P111" t="s">
        <v>115</v>
      </c>
      <c r="Q111" t="s">
        <v>34</v>
      </c>
      <c r="R111">
        <v>305</v>
      </c>
      <c r="S111">
        <v>274</v>
      </c>
      <c r="T111">
        <v>858</v>
      </c>
    </row>
    <row r="112" spans="9:20" x14ac:dyDescent="0.3">
      <c r="O112">
        <v>111</v>
      </c>
      <c r="P112" t="s">
        <v>115</v>
      </c>
      <c r="Q112" t="s">
        <v>37</v>
      </c>
      <c r="R112">
        <v>270</v>
      </c>
      <c r="S112">
        <v>338</v>
      </c>
      <c r="T112">
        <v>829</v>
      </c>
    </row>
    <row r="113" spans="15:20" x14ac:dyDescent="0.3">
      <c r="O113">
        <v>112</v>
      </c>
      <c r="P113" t="s">
        <v>116</v>
      </c>
      <c r="Q113" t="s">
        <v>34</v>
      </c>
      <c r="R113">
        <v>269</v>
      </c>
      <c r="S113">
        <v>308</v>
      </c>
      <c r="T113">
        <v>856</v>
      </c>
    </row>
    <row r="114" spans="15:20" x14ac:dyDescent="0.3">
      <c r="O114">
        <v>113</v>
      </c>
      <c r="P114" t="s">
        <v>116</v>
      </c>
      <c r="Q114" t="s">
        <v>37</v>
      </c>
      <c r="R114">
        <v>322</v>
      </c>
      <c r="S114">
        <v>287</v>
      </c>
      <c r="T114">
        <v>828</v>
      </c>
    </row>
    <row r="115" spans="15:20" x14ac:dyDescent="0.3">
      <c r="O115">
        <v>114</v>
      </c>
      <c r="P115" t="s">
        <v>117</v>
      </c>
      <c r="Q115" t="s">
        <v>34</v>
      </c>
      <c r="R115">
        <v>311</v>
      </c>
      <c r="S115">
        <v>266</v>
      </c>
      <c r="T115">
        <v>860</v>
      </c>
    </row>
    <row r="116" spans="15:20" x14ac:dyDescent="0.3">
      <c r="O116">
        <v>115</v>
      </c>
      <c r="P116" t="s">
        <v>117</v>
      </c>
      <c r="Q116" t="s">
        <v>37</v>
      </c>
      <c r="R116">
        <v>252</v>
      </c>
      <c r="S116">
        <v>312</v>
      </c>
      <c r="T116">
        <v>874</v>
      </c>
    </row>
    <row r="117" spans="15:20" x14ac:dyDescent="0.3">
      <c r="O117">
        <v>116</v>
      </c>
      <c r="P117" t="s">
        <v>118</v>
      </c>
      <c r="Q117" t="s">
        <v>34</v>
      </c>
      <c r="R117">
        <v>186</v>
      </c>
      <c r="S117">
        <v>304</v>
      </c>
      <c r="T117">
        <v>947</v>
      </c>
    </row>
    <row r="118" spans="15:20" x14ac:dyDescent="0.3">
      <c r="O118">
        <v>117</v>
      </c>
      <c r="P118" t="s">
        <v>118</v>
      </c>
      <c r="Q118" t="s">
        <v>37</v>
      </c>
      <c r="R118">
        <v>483</v>
      </c>
      <c r="S118">
        <v>461</v>
      </c>
      <c r="T118">
        <v>494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1153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120</v>
      </c>
      <c r="Q121" t="s">
        <v>34</v>
      </c>
      <c r="R121">
        <v>379</v>
      </c>
      <c r="S121">
        <v>648</v>
      </c>
      <c r="T121">
        <v>411</v>
      </c>
    </row>
    <row r="122" spans="15:20" x14ac:dyDescent="0.3">
      <c r="O122">
        <v>121</v>
      </c>
      <c r="P122" t="s">
        <v>120</v>
      </c>
      <c r="Q122" t="s">
        <v>37</v>
      </c>
      <c r="R122">
        <v>292</v>
      </c>
      <c r="S122">
        <v>284</v>
      </c>
      <c r="T122">
        <v>862</v>
      </c>
    </row>
    <row r="123" spans="15:20" x14ac:dyDescent="0.3">
      <c r="O123">
        <v>122</v>
      </c>
      <c r="P123" t="s">
        <v>121</v>
      </c>
      <c r="Q123" t="s">
        <v>34</v>
      </c>
      <c r="R123">
        <v>474</v>
      </c>
      <c r="S123">
        <v>541</v>
      </c>
      <c r="T123">
        <v>421</v>
      </c>
    </row>
    <row r="124" spans="15:20" x14ac:dyDescent="0.3">
      <c r="O124">
        <v>123</v>
      </c>
      <c r="P124" t="s">
        <v>121</v>
      </c>
      <c r="Q124" t="s">
        <v>37</v>
      </c>
      <c r="R124">
        <v>259</v>
      </c>
      <c r="S124">
        <v>304</v>
      </c>
      <c r="T124">
        <v>875</v>
      </c>
    </row>
    <row r="125" spans="15:20" x14ac:dyDescent="0.3">
      <c r="O125">
        <v>124</v>
      </c>
      <c r="P125" t="s">
        <v>122</v>
      </c>
      <c r="Q125" t="s">
        <v>34</v>
      </c>
      <c r="R125">
        <v>451</v>
      </c>
      <c r="S125">
        <v>575</v>
      </c>
      <c r="T125">
        <v>410</v>
      </c>
    </row>
    <row r="126" spans="15:20" x14ac:dyDescent="0.3">
      <c r="O126">
        <v>125</v>
      </c>
      <c r="P126" t="s">
        <v>122</v>
      </c>
      <c r="Q126" t="s">
        <v>37</v>
      </c>
      <c r="R126">
        <v>347</v>
      </c>
      <c r="S126">
        <v>268</v>
      </c>
      <c r="T126">
        <v>821</v>
      </c>
    </row>
    <row r="127" spans="15:20" x14ac:dyDescent="0.3">
      <c r="O127">
        <v>126</v>
      </c>
      <c r="P127" t="s">
        <v>123</v>
      </c>
      <c r="Q127" t="s">
        <v>34</v>
      </c>
      <c r="R127">
        <v>437</v>
      </c>
      <c r="S127">
        <v>580</v>
      </c>
      <c r="T127">
        <v>421</v>
      </c>
    </row>
    <row r="128" spans="15:20" x14ac:dyDescent="0.3">
      <c r="O128">
        <v>127</v>
      </c>
      <c r="P128" t="s">
        <v>123</v>
      </c>
      <c r="Q128" t="s">
        <v>37</v>
      </c>
      <c r="R128">
        <v>240</v>
      </c>
      <c r="S128">
        <v>320</v>
      </c>
      <c r="T128">
        <v>876</v>
      </c>
    </row>
    <row r="129" spans="15:20" x14ac:dyDescent="0.3">
      <c r="O129">
        <v>128</v>
      </c>
      <c r="P129" t="s">
        <v>124</v>
      </c>
      <c r="Q129" t="s">
        <v>34</v>
      </c>
      <c r="R129">
        <v>403</v>
      </c>
      <c r="S129">
        <v>603</v>
      </c>
      <c r="T129">
        <v>431</v>
      </c>
    </row>
    <row r="130" spans="15:20" x14ac:dyDescent="0.3">
      <c r="O130">
        <v>129</v>
      </c>
      <c r="P130" t="s">
        <v>124</v>
      </c>
      <c r="Q130" t="s">
        <v>37</v>
      </c>
      <c r="R130">
        <v>223</v>
      </c>
      <c r="S130">
        <v>335</v>
      </c>
      <c r="T130">
        <v>881</v>
      </c>
    </row>
    <row r="131" spans="15:20" x14ac:dyDescent="0.3">
      <c r="O131">
        <v>130</v>
      </c>
      <c r="P131" t="s">
        <v>125</v>
      </c>
      <c r="Q131" t="s">
        <v>34</v>
      </c>
      <c r="R131">
        <v>382</v>
      </c>
      <c r="S131">
        <v>578</v>
      </c>
      <c r="T131">
        <v>477</v>
      </c>
    </row>
    <row r="132" spans="15:20" x14ac:dyDescent="0.3">
      <c r="O132">
        <v>131</v>
      </c>
      <c r="P132" t="s">
        <v>125</v>
      </c>
      <c r="Q132" t="s">
        <v>37</v>
      </c>
      <c r="R132">
        <v>216</v>
      </c>
      <c r="S132">
        <v>251</v>
      </c>
      <c r="T132">
        <v>972</v>
      </c>
    </row>
    <row r="133" spans="15:20" x14ac:dyDescent="0.3">
      <c r="O133">
        <v>132</v>
      </c>
      <c r="P133" t="s">
        <v>126</v>
      </c>
      <c r="Q133" t="s">
        <v>34</v>
      </c>
      <c r="R133">
        <v>0</v>
      </c>
      <c r="S133">
        <v>0</v>
      </c>
      <c r="T133">
        <v>1440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127</v>
      </c>
      <c r="Q135" t="s">
        <v>34</v>
      </c>
      <c r="R135">
        <v>3</v>
      </c>
      <c r="S135">
        <v>0</v>
      </c>
      <c r="T135">
        <v>1437</v>
      </c>
    </row>
    <row r="136" spans="15:20" x14ac:dyDescent="0.3">
      <c r="O136">
        <v>135</v>
      </c>
      <c r="P136" t="s">
        <v>127</v>
      </c>
      <c r="Q136" t="s">
        <v>37</v>
      </c>
      <c r="R136">
        <v>407</v>
      </c>
      <c r="S136">
        <v>710</v>
      </c>
      <c r="T136">
        <v>318</v>
      </c>
    </row>
    <row r="137" spans="15:20" x14ac:dyDescent="0.3">
      <c r="O137">
        <v>136</v>
      </c>
      <c r="P137" t="s">
        <v>128</v>
      </c>
      <c r="Q137" t="s">
        <v>34</v>
      </c>
      <c r="R137">
        <v>264</v>
      </c>
      <c r="S137">
        <v>252</v>
      </c>
      <c r="T137">
        <v>920</v>
      </c>
    </row>
    <row r="138" spans="15:20" x14ac:dyDescent="0.3">
      <c r="O138">
        <v>137</v>
      </c>
      <c r="P138" t="s">
        <v>128</v>
      </c>
      <c r="Q138" t="s">
        <v>37</v>
      </c>
      <c r="R138">
        <v>523</v>
      </c>
      <c r="S138">
        <v>595</v>
      </c>
      <c r="T138">
        <v>316</v>
      </c>
    </row>
    <row r="139" spans="15:20" x14ac:dyDescent="0.3">
      <c r="O139">
        <v>138</v>
      </c>
      <c r="P139" t="s">
        <v>129</v>
      </c>
      <c r="Q139" t="s">
        <v>34</v>
      </c>
      <c r="R139">
        <v>253</v>
      </c>
      <c r="S139">
        <v>265</v>
      </c>
      <c r="T139">
        <v>918</v>
      </c>
    </row>
    <row r="140" spans="15:20" x14ac:dyDescent="0.3">
      <c r="O140">
        <v>139</v>
      </c>
      <c r="P140" t="s">
        <v>129</v>
      </c>
      <c r="Q140" t="s">
        <v>37</v>
      </c>
      <c r="R140">
        <v>470</v>
      </c>
      <c r="S140">
        <v>651</v>
      </c>
      <c r="T140">
        <v>312</v>
      </c>
    </row>
    <row r="141" spans="15:20" x14ac:dyDescent="0.3">
      <c r="O141">
        <v>140</v>
      </c>
      <c r="P141" t="s">
        <v>130</v>
      </c>
      <c r="Q141" t="s">
        <v>34</v>
      </c>
      <c r="R141">
        <v>447</v>
      </c>
      <c r="S141">
        <v>459</v>
      </c>
      <c r="T141">
        <v>531</v>
      </c>
    </row>
    <row r="142" spans="15:20" x14ac:dyDescent="0.3">
      <c r="O142">
        <v>141</v>
      </c>
      <c r="P142" t="s">
        <v>130</v>
      </c>
      <c r="Q142" t="s">
        <v>37</v>
      </c>
      <c r="R142">
        <v>429</v>
      </c>
      <c r="S142">
        <v>656</v>
      </c>
      <c r="T142">
        <v>352</v>
      </c>
    </row>
    <row r="143" spans="15:20" x14ac:dyDescent="0.3">
      <c r="O143">
        <v>142</v>
      </c>
      <c r="P143" t="s">
        <v>131</v>
      </c>
      <c r="Q143" t="s">
        <v>34</v>
      </c>
      <c r="R143">
        <v>457</v>
      </c>
      <c r="S143">
        <v>445</v>
      </c>
      <c r="T143">
        <v>534</v>
      </c>
    </row>
    <row r="144" spans="15:20" x14ac:dyDescent="0.3">
      <c r="O144">
        <v>143</v>
      </c>
      <c r="P144" t="s">
        <v>131</v>
      </c>
      <c r="Q144" t="s">
        <v>37</v>
      </c>
      <c r="R144">
        <v>482</v>
      </c>
      <c r="S144">
        <v>656</v>
      </c>
      <c r="T144">
        <v>299</v>
      </c>
    </row>
    <row r="145" spans="15:20" x14ac:dyDescent="0.3">
      <c r="O145">
        <v>144</v>
      </c>
      <c r="P145" t="s">
        <v>132</v>
      </c>
      <c r="Q145" t="s">
        <v>34</v>
      </c>
      <c r="R145">
        <v>350</v>
      </c>
      <c r="S145">
        <v>527</v>
      </c>
      <c r="T145">
        <v>559</v>
      </c>
    </row>
    <row r="146" spans="15:20" x14ac:dyDescent="0.3">
      <c r="O146">
        <v>145</v>
      </c>
      <c r="P146" t="s">
        <v>132</v>
      </c>
      <c r="Q146" t="s">
        <v>37</v>
      </c>
      <c r="R146">
        <v>289</v>
      </c>
      <c r="S146">
        <v>291</v>
      </c>
      <c r="T146">
        <v>857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134</v>
      </c>
      <c r="Q149" t="s">
        <v>34</v>
      </c>
      <c r="R149">
        <v>379</v>
      </c>
      <c r="S149">
        <v>528</v>
      </c>
      <c r="T149">
        <v>529</v>
      </c>
    </row>
    <row r="150" spans="15:20" x14ac:dyDescent="0.3">
      <c r="O150">
        <v>149</v>
      </c>
      <c r="P150" t="s">
        <v>134</v>
      </c>
      <c r="Q150" t="s">
        <v>37</v>
      </c>
      <c r="R150">
        <v>324</v>
      </c>
      <c r="S150">
        <v>316</v>
      </c>
      <c r="T150">
        <v>797</v>
      </c>
    </row>
    <row r="151" spans="15:20" x14ac:dyDescent="0.3">
      <c r="O151">
        <v>150</v>
      </c>
      <c r="P151" t="s">
        <v>135</v>
      </c>
      <c r="Q151" t="s">
        <v>34</v>
      </c>
      <c r="R151">
        <v>371</v>
      </c>
      <c r="S151">
        <v>538</v>
      </c>
      <c r="T151">
        <v>528</v>
      </c>
    </row>
    <row r="152" spans="15:20" x14ac:dyDescent="0.3">
      <c r="O152">
        <v>151</v>
      </c>
      <c r="P152" t="s">
        <v>135</v>
      </c>
      <c r="Q152" t="s">
        <v>37</v>
      </c>
      <c r="R152">
        <v>311</v>
      </c>
      <c r="S152">
        <v>330</v>
      </c>
      <c r="T152">
        <v>793</v>
      </c>
    </row>
    <row r="153" spans="15:20" x14ac:dyDescent="0.3">
      <c r="O153">
        <v>152</v>
      </c>
      <c r="P153" t="s">
        <v>136</v>
      </c>
      <c r="Q153" t="s">
        <v>34</v>
      </c>
      <c r="R153">
        <v>336</v>
      </c>
      <c r="S153">
        <v>570</v>
      </c>
      <c r="T153">
        <v>531</v>
      </c>
    </row>
    <row r="154" spans="15:20" x14ac:dyDescent="0.3">
      <c r="O154">
        <v>153</v>
      </c>
      <c r="P154" t="s">
        <v>136</v>
      </c>
      <c r="Q154" t="s">
        <v>37</v>
      </c>
      <c r="R154">
        <v>297</v>
      </c>
      <c r="S154">
        <v>348</v>
      </c>
      <c r="T154">
        <v>792</v>
      </c>
    </row>
    <row r="155" spans="15:20" x14ac:dyDescent="0.3">
      <c r="O155">
        <v>154</v>
      </c>
      <c r="P155" t="s">
        <v>137</v>
      </c>
      <c r="Q155" t="s">
        <v>34</v>
      </c>
      <c r="R155">
        <v>352</v>
      </c>
      <c r="S155">
        <v>553</v>
      </c>
      <c r="T155">
        <v>531</v>
      </c>
    </row>
    <row r="156" spans="15:20" x14ac:dyDescent="0.3">
      <c r="O156">
        <v>155</v>
      </c>
      <c r="P156" t="s">
        <v>137</v>
      </c>
      <c r="Q156" t="s">
        <v>37</v>
      </c>
      <c r="R156">
        <v>286</v>
      </c>
      <c r="S156">
        <v>302</v>
      </c>
      <c r="T156">
        <v>849</v>
      </c>
    </row>
    <row r="157" spans="15:20" x14ac:dyDescent="0.3">
      <c r="O157">
        <v>156</v>
      </c>
      <c r="P157" t="s">
        <v>138</v>
      </c>
      <c r="Q157" t="s">
        <v>34</v>
      </c>
      <c r="R157">
        <v>381</v>
      </c>
      <c r="S157">
        <v>523</v>
      </c>
      <c r="T157">
        <v>533</v>
      </c>
    </row>
    <row r="158" spans="15:20" x14ac:dyDescent="0.3">
      <c r="O158">
        <v>157</v>
      </c>
      <c r="P158" t="s">
        <v>138</v>
      </c>
      <c r="Q158" t="s">
        <v>37</v>
      </c>
      <c r="R158">
        <v>341</v>
      </c>
      <c r="S158">
        <v>302</v>
      </c>
      <c r="T158">
        <v>793</v>
      </c>
    </row>
    <row r="159" spans="15:20" x14ac:dyDescent="0.3">
      <c r="O159">
        <v>158</v>
      </c>
      <c r="P159" t="s">
        <v>139</v>
      </c>
      <c r="Q159" t="s">
        <v>34</v>
      </c>
      <c r="R159">
        <v>286</v>
      </c>
      <c r="S159">
        <v>250</v>
      </c>
      <c r="T159">
        <v>902</v>
      </c>
    </row>
    <row r="160" spans="15:20" x14ac:dyDescent="0.3">
      <c r="O160">
        <v>159</v>
      </c>
      <c r="P160" t="s">
        <v>139</v>
      </c>
      <c r="Q160" t="s">
        <v>37</v>
      </c>
      <c r="R160">
        <v>191</v>
      </c>
      <c r="S160">
        <v>270</v>
      </c>
      <c r="T160">
        <v>977</v>
      </c>
    </row>
    <row r="161" spans="15:20" x14ac:dyDescent="0.3">
      <c r="O161">
        <v>160</v>
      </c>
      <c r="P161" t="s">
        <v>140</v>
      </c>
      <c r="Q161" t="s">
        <v>37</v>
      </c>
      <c r="R161">
        <v>0</v>
      </c>
      <c r="S161">
        <v>0</v>
      </c>
      <c r="T161">
        <v>1829</v>
      </c>
    </row>
    <row r="162" spans="15:20" x14ac:dyDescent="0.3">
      <c r="O162">
        <v>161</v>
      </c>
      <c r="P162" t="s">
        <v>141</v>
      </c>
      <c r="Q162" t="s">
        <v>34</v>
      </c>
      <c r="R162">
        <v>458</v>
      </c>
      <c r="S162">
        <v>441</v>
      </c>
      <c r="T162">
        <v>535</v>
      </c>
    </row>
    <row r="163" spans="15:20" x14ac:dyDescent="0.3">
      <c r="O163">
        <v>162</v>
      </c>
      <c r="P163" t="s">
        <v>141</v>
      </c>
      <c r="Q163" t="s">
        <v>37</v>
      </c>
      <c r="R163">
        <v>290</v>
      </c>
      <c r="S163">
        <v>358</v>
      </c>
      <c r="T163">
        <v>788</v>
      </c>
    </row>
    <row r="164" spans="15:20" x14ac:dyDescent="0.3">
      <c r="O164">
        <v>163</v>
      </c>
      <c r="P164" t="s">
        <v>142</v>
      </c>
      <c r="Q164" t="s">
        <v>34</v>
      </c>
      <c r="R164">
        <v>398</v>
      </c>
      <c r="S164">
        <v>510</v>
      </c>
      <c r="T164">
        <v>529</v>
      </c>
    </row>
    <row r="165" spans="15:20" x14ac:dyDescent="0.3">
      <c r="O165">
        <v>164</v>
      </c>
      <c r="P165" t="s">
        <v>142</v>
      </c>
      <c r="Q165" t="s">
        <v>37</v>
      </c>
      <c r="R165">
        <v>370</v>
      </c>
      <c r="S165">
        <v>281</v>
      </c>
      <c r="T165">
        <v>786</v>
      </c>
    </row>
    <row r="166" spans="15:20" x14ac:dyDescent="0.3">
      <c r="O166">
        <v>165</v>
      </c>
      <c r="P166" t="s">
        <v>143</v>
      </c>
      <c r="Q166" t="s">
        <v>34</v>
      </c>
      <c r="R166">
        <v>630</v>
      </c>
      <c r="S166">
        <v>272</v>
      </c>
      <c r="T166">
        <v>535</v>
      </c>
    </row>
    <row r="167" spans="15:20" x14ac:dyDescent="0.3">
      <c r="O167">
        <v>166</v>
      </c>
      <c r="P167" t="s">
        <v>143</v>
      </c>
      <c r="Q167" t="s">
        <v>37</v>
      </c>
      <c r="R167">
        <v>322</v>
      </c>
      <c r="S167">
        <v>351</v>
      </c>
      <c r="T167">
        <v>762</v>
      </c>
    </row>
    <row r="168" spans="15:20" x14ac:dyDescent="0.3">
      <c r="O168">
        <v>167</v>
      </c>
      <c r="P168" t="s">
        <v>144</v>
      </c>
      <c r="Q168" t="s">
        <v>34</v>
      </c>
      <c r="R168">
        <v>418</v>
      </c>
      <c r="S168">
        <v>487</v>
      </c>
      <c r="T168">
        <v>532</v>
      </c>
    </row>
    <row r="169" spans="15:20" x14ac:dyDescent="0.3">
      <c r="O169">
        <v>168</v>
      </c>
      <c r="P169" t="s">
        <v>144</v>
      </c>
      <c r="Q169" t="s">
        <v>37</v>
      </c>
      <c r="R169">
        <v>404</v>
      </c>
      <c r="S169">
        <v>239</v>
      </c>
      <c r="T169">
        <v>794</v>
      </c>
    </row>
    <row r="170" spans="15:20" x14ac:dyDescent="0.3">
      <c r="O170">
        <v>169</v>
      </c>
      <c r="P170" t="s">
        <v>145</v>
      </c>
      <c r="Q170" t="s">
        <v>34</v>
      </c>
      <c r="R170">
        <v>417</v>
      </c>
      <c r="S170">
        <v>486</v>
      </c>
      <c r="T170">
        <v>533</v>
      </c>
    </row>
    <row r="171" spans="15:20" x14ac:dyDescent="0.3">
      <c r="O171">
        <v>170</v>
      </c>
      <c r="P171" t="s">
        <v>145</v>
      </c>
      <c r="Q171" t="s">
        <v>37</v>
      </c>
      <c r="R171">
        <v>338</v>
      </c>
      <c r="S171">
        <v>302</v>
      </c>
      <c r="T171">
        <v>798</v>
      </c>
    </row>
    <row r="172" spans="15:20" x14ac:dyDescent="0.3">
      <c r="O172">
        <v>171</v>
      </c>
      <c r="P172" t="s">
        <v>146</v>
      </c>
      <c r="Q172" t="s">
        <v>34</v>
      </c>
      <c r="R172">
        <v>308</v>
      </c>
      <c r="S172">
        <v>521</v>
      </c>
      <c r="T172">
        <v>608</v>
      </c>
    </row>
    <row r="173" spans="15:20" x14ac:dyDescent="0.3">
      <c r="O173">
        <v>172</v>
      </c>
      <c r="P173" t="s">
        <v>146</v>
      </c>
      <c r="Q173" t="s">
        <v>37</v>
      </c>
      <c r="R173">
        <v>268</v>
      </c>
      <c r="S173">
        <v>315</v>
      </c>
      <c r="T173">
        <v>854</v>
      </c>
    </row>
    <row r="174" spans="15:20" x14ac:dyDescent="0.3">
      <c r="O174">
        <v>173</v>
      </c>
      <c r="P174" t="s">
        <v>147</v>
      </c>
      <c r="Q174" t="s">
        <v>34</v>
      </c>
      <c r="R174">
        <v>0</v>
      </c>
      <c r="S174">
        <v>0</v>
      </c>
      <c r="T174">
        <v>1440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148</v>
      </c>
      <c r="Q176" t="s">
        <v>34</v>
      </c>
      <c r="R176">
        <v>433</v>
      </c>
      <c r="S176">
        <v>472</v>
      </c>
      <c r="T176">
        <v>532</v>
      </c>
    </row>
    <row r="177" spans="15:20" x14ac:dyDescent="0.3">
      <c r="O177">
        <v>176</v>
      </c>
      <c r="P177" t="s">
        <v>148</v>
      </c>
      <c r="Q177" t="s">
        <v>37</v>
      </c>
      <c r="R177">
        <v>294</v>
      </c>
      <c r="S177">
        <v>288</v>
      </c>
      <c r="T177">
        <v>854</v>
      </c>
    </row>
    <row r="178" spans="15:20" x14ac:dyDescent="0.3">
      <c r="O178">
        <v>177</v>
      </c>
      <c r="P178" t="s">
        <v>149</v>
      </c>
      <c r="Q178" t="s">
        <v>34</v>
      </c>
      <c r="R178">
        <v>428</v>
      </c>
      <c r="S178">
        <v>480</v>
      </c>
      <c r="T178">
        <v>530</v>
      </c>
    </row>
    <row r="179" spans="15:20" x14ac:dyDescent="0.3">
      <c r="O179">
        <v>178</v>
      </c>
      <c r="P179" t="s">
        <v>149</v>
      </c>
      <c r="Q179" t="s">
        <v>37</v>
      </c>
      <c r="R179">
        <v>293</v>
      </c>
      <c r="S179">
        <v>354</v>
      </c>
      <c r="T179">
        <v>791</v>
      </c>
    </row>
    <row r="180" spans="15:20" x14ac:dyDescent="0.3">
      <c r="O180">
        <v>179</v>
      </c>
      <c r="P180" t="s">
        <v>150</v>
      </c>
      <c r="Q180" t="s">
        <v>34</v>
      </c>
      <c r="R180">
        <v>419</v>
      </c>
      <c r="S180">
        <v>486</v>
      </c>
      <c r="T180">
        <v>529</v>
      </c>
    </row>
    <row r="181" spans="15:20" x14ac:dyDescent="0.3">
      <c r="O181">
        <v>180</v>
      </c>
      <c r="P181" t="s">
        <v>150</v>
      </c>
      <c r="Q181" t="s">
        <v>37</v>
      </c>
      <c r="R181">
        <v>331</v>
      </c>
      <c r="S181">
        <v>313</v>
      </c>
      <c r="T181">
        <v>796</v>
      </c>
    </row>
    <row r="182" spans="15:20" x14ac:dyDescent="0.3">
      <c r="O182">
        <v>181</v>
      </c>
      <c r="P182" t="s">
        <v>151</v>
      </c>
      <c r="Q182" t="s">
        <v>34</v>
      </c>
      <c r="R182">
        <v>192</v>
      </c>
      <c r="S182">
        <v>207</v>
      </c>
      <c r="T182">
        <v>1040</v>
      </c>
    </row>
    <row r="183" spans="15:20" x14ac:dyDescent="0.3">
      <c r="O183">
        <v>182</v>
      </c>
      <c r="P183" t="s">
        <v>151</v>
      </c>
      <c r="Q183" t="s">
        <v>37</v>
      </c>
      <c r="R183">
        <v>225</v>
      </c>
      <c r="S183">
        <v>414</v>
      </c>
      <c r="T183">
        <v>799</v>
      </c>
    </row>
    <row r="184" spans="15:20" x14ac:dyDescent="0.3">
      <c r="O184">
        <v>183</v>
      </c>
      <c r="P184" t="s">
        <v>152</v>
      </c>
      <c r="Q184" t="s">
        <v>34</v>
      </c>
      <c r="R184">
        <v>159</v>
      </c>
      <c r="S184">
        <v>244</v>
      </c>
      <c r="T184">
        <v>1035</v>
      </c>
    </row>
    <row r="185" spans="15:20" x14ac:dyDescent="0.3">
      <c r="O185">
        <v>184</v>
      </c>
      <c r="P185" t="s">
        <v>152</v>
      </c>
      <c r="Q185" t="s">
        <v>37</v>
      </c>
      <c r="R185">
        <v>279</v>
      </c>
      <c r="S185">
        <v>296</v>
      </c>
      <c r="T185">
        <v>862</v>
      </c>
    </row>
    <row r="186" spans="15:20" x14ac:dyDescent="0.3">
      <c r="O186">
        <v>185</v>
      </c>
      <c r="P186" t="s">
        <v>153</v>
      </c>
      <c r="Q186" t="s">
        <v>34</v>
      </c>
      <c r="R186">
        <v>158</v>
      </c>
      <c r="S186">
        <v>242</v>
      </c>
      <c r="T186">
        <v>1039</v>
      </c>
    </row>
    <row r="187" spans="15:20" x14ac:dyDescent="0.3">
      <c r="O187">
        <v>186</v>
      </c>
      <c r="P187" t="s">
        <v>153</v>
      </c>
      <c r="Q187" t="s">
        <v>37</v>
      </c>
      <c r="R187">
        <v>248</v>
      </c>
      <c r="S187">
        <v>339</v>
      </c>
      <c r="T187">
        <v>850</v>
      </c>
    </row>
    <row r="188" spans="15:20" x14ac:dyDescent="0.3">
      <c r="O188">
        <v>187</v>
      </c>
      <c r="P188" t="s">
        <v>154</v>
      </c>
      <c r="Q188" t="s">
        <v>34</v>
      </c>
      <c r="R188">
        <v>0</v>
      </c>
      <c r="S188">
        <v>0</v>
      </c>
      <c r="T188">
        <v>1440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155</v>
      </c>
      <c r="Q190" t="s">
        <v>34</v>
      </c>
      <c r="R190">
        <v>365</v>
      </c>
      <c r="S190">
        <v>543</v>
      </c>
      <c r="T190">
        <v>529</v>
      </c>
    </row>
    <row r="191" spans="15:20" x14ac:dyDescent="0.3">
      <c r="O191">
        <v>190</v>
      </c>
      <c r="P191" t="s">
        <v>155</v>
      </c>
      <c r="Q191" t="s">
        <v>37</v>
      </c>
      <c r="R191">
        <v>334</v>
      </c>
      <c r="S191">
        <v>304</v>
      </c>
      <c r="T191">
        <v>798</v>
      </c>
    </row>
    <row r="192" spans="15:20" x14ac:dyDescent="0.3">
      <c r="O192">
        <v>191</v>
      </c>
      <c r="P192" t="s">
        <v>156</v>
      </c>
      <c r="Q192" t="s">
        <v>34</v>
      </c>
      <c r="R192">
        <v>421</v>
      </c>
      <c r="S192">
        <v>488</v>
      </c>
      <c r="T192">
        <v>529</v>
      </c>
    </row>
    <row r="193" spans="15:20" x14ac:dyDescent="0.3">
      <c r="O193">
        <v>192</v>
      </c>
      <c r="P193" t="s">
        <v>156</v>
      </c>
      <c r="Q193" t="s">
        <v>37</v>
      </c>
      <c r="R193">
        <v>338</v>
      </c>
      <c r="S193">
        <v>304</v>
      </c>
      <c r="T193">
        <v>793</v>
      </c>
    </row>
    <row r="194" spans="15:20" x14ac:dyDescent="0.3">
      <c r="O194">
        <v>193</v>
      </c>
      <c r="P194" t="s">
        <v>157</v>
      </c>
      <c r="Q194" t="s">
        <v>34</v>
      </c>
      <c r="R194">
        <v>374</v>
      </c>
      <c r="S194">
        <v>537</v>
      </c>
      <c r="T194">
        <v>528</v>
      </c>
    </row>
    <row r="195" spans="15:20" x14ac:dyDescent="0.3">
      <c r="O195">
        <v>194</v>
      </c>
      <c r="P195" t="s">
        <v>157</v>
      </c>
      <c r="Q195" t="s">
        <v>37</v>
      </c>
      <c r="R195">
        <v>351</v>
      </c>
      <c r="S195">
        <v>292</v>
      </c>
      <c r="T195">
        <v>793</v>
      </c>
    </row>
    <row r="196" spans="15:20" x14ac:dyDescent="0.3">
      <c r="O196">
        <v>195</v>
      </c>
      <c r="P196" t="s">
        <v>158</v>
      </c>
      <c r="Q196" t="s">
        <v>34</v>
      </c>
      <c r="R196">
        <v>353</v>
      </c>
      <c r="S196">
        <v>556</v>
      </c>
      <c r="T196">
        <v>527</v>
      </c>
    </row>
    <row r="197" spans="15:20" x14ac:dyDescent="0.3">
      <c r="O197">
        <v>196</v>
      </c>
      <c r="P197" t="s">
        <v>158</v>
      </c>
      <c r="Q197" t="s">
        <v>37</v>
      </c>
      <c r="R197">
        <v>291</v>
      </c>
      <c r="S197">
        <v>344</v>
      </c>
      <c r="T197">
        <v>802</v>
      </c>
    </row>
    <row r="198" spans="15:20" x14ac:dyDescent="0.3">
      <c r="O198">
        <v>197</v>
      </c>
      <c r="P198" t="s">
        <v>159</v>
      </c>
      <c r="Q198" t="s">
        <v>34</v>
      </c>
      <c r="R198">
        <v>470</v>
      </c>
      <c r="S198">
        <v>437</v>
      </c>
      <c r="T198">
        <v>529</v>
      </c>
    </row>
    <row r="199" spans="15:20" x14ac:dyDescent="0.3">
      <c r="O199">
        <v>198</v>
      </c>
      <c r="P199" t="s">
        <v>159</v>
      </c>
      <c r="Q199" t="s">
        <v>37</v>
      </c>
      <c r="R199">
        <v>259</v>
      </c>
      <c r="S199">
        <v>384</v>
      </c>
      <c r="T199">
        <v>793</v>
      </c>
    </row>
    <row r="200" spans="15:20" x14ac:dyDescent="0.3">
      <c r="O200">
        <v>199</v>
      </c>
      <c r="P200" t="s">
        <v>160</v>
      </c>
      <c r="Q200" t="s">
        <v>34</v>
      </c>
      <c r="R200">
        <v>401</v>
      </c>
      <c r="S200">
        <v>478</v>
      </c>
      <c r="T200">
        <v>559</v>
      </c>
    </row>
    <row r="201" spans="15:20" x14ac:dyDescent="0.3">
      <c r="O201">
        <v>200</v>
      </c>
      <c r="P201" t="s">
        <v>160</v>
      </c>
      <c r="Q201" t="s">
        <v>37</v>
      </c>
      <c r="R201">
        <v>300</v>
      </c>
      <c r="S201">
        <v>286</v>
      </c>
      <c r="T201">
        <v>850</v>
      </c>
    </row>
    <row r="202" spans="15:20" x14ac:dyDescent="0.3">
      <c r="O202">
        <v>201</v>
      </c>
      <c r="P202" t="s">
        <v>161</v>
      </c>
      <c r="Q202" t="s">
        <v>34</v>
      </c>
      <c r="R202">
        <v>0</v>
      </c>
      <c r="S202">
        <v>0</v>
      </c>
      <c r="T202">
        <v>1440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1440</v>
      </c>
    </row>
    <row r="204" spans="15:20" x14ac:dyDescent="0.3">
      <c r="O204">
        <v>203</v>
      </c>
      <c r="P204" t="s">
        <v>162</v>
      </c>
      <c r="Q204" t="s">
        <v>34</v>
      </c>
      <c r="R204">
        <v>437</v>
      </c>
      <c r="S204">
        <v>473</v>
      </c>
      <c r="T204">
        <v>529</v>
      </c>
    </row>
    <row r="205" spans="15:20" x14ac:dyDescent="0.3">
      <c r="O205">
        <v>204</v>
      </c>
      <c r="P205" t="s">
        <v>162</v>
      </c>
      <c r="Q205" t="s">
        <v>37</v>
      </c>
      <c r="R205">
        <v>252</v>
      </c>
      <c r="S205">
        <v>329</v>
      </c>
      <c r="T205">
        <v>856</v>
      </c>
    </row>
    <row r="206" spans="15:20" x14ac:dyDescent="0.3">
      <c r="O206">
        <v>205</v>
      </c>
      <c r="P206" t="s">
        <v>163</v>
      </c>
      <c r="Q206" t="s">
        <v>34</v>
      </c>
      <c r="R206">
        <v>485</v>
      </c>
      <c r="S206">
        <v>425</v>
      </c>
      <c r="T206">
        <v>526</v>
      </c>
    </row>
    <row r="207" spans="15:20" x14ac:dyDescent="0.3">
      <c r="O207">
        <v>206</v>
      </c>
      <c r="P207" t="s">
        <v>163</v>
      </c>
      <c r="Q207" t="s">
        <v>37</v>
      </c>
      <c r="R207">
        <v>271</v>
      </c>
      <c r="S207">
        <v>368</v>
      </c>
      <c r="T207">
        <v>798</v>
      </c>
    </row>
    <row r="208" spans="15:20" x14ac:dyDescent="0.3">
      <c r="O208">
        <v>207</v>
      </c>
      <c r="P208" t="s">
        <v>164</v>
      </c>
      <c r="Q208" t="s">
        <v>34</v>
      </c>
      <c r="R208">
        <v>424</v>
      </c>
      <c r="S208">
        <v>487</v>
      </c>
      <c r="T208">
        <v>526</v>
      </c>
    </row>
    <row r="209" spans="15:20" x14ac:dyDescent="0.3">
      <c r="O209">
        <v>208</v>
      </c>
      <c r="P209" t="s">
        <v>164</v>
      </c>
      <c r="Q209" t="s">
        <v>37</v>
      </c>
      <c r="R209">
        <v>268</v>
      </c>
      <c r="S209">
        <v>369</v>
      </c>
      <c r="T209">
        <v>800</v>
      </c>
    </row>
    <row r="210" spans="15:20" x14ac:dyDescent="0.3">
      <c r="O210">
        <v>209</v>
      </c>
      <c r="P210" t="s">
        <v>165</v>
      </c>
      <c r="Q210" t="s">
        <v>34</v>
      </c>
      <c r="R210">
        <v>467</v>
      </c>
      <c r="S210">
        <v>441</v>
      </c>
      <c r="T210">
        <v>526</v>
      </c>
    </row>
    <row r="211" spans="15:20" x14ac:dyDescent="0.3">
      <c r="O211">
        <v>210</v>
      </c>
      <c r="P211" t="s">
        <v>165</v>
      </c>
      <c r="Q211" t="s">
        <v>37</v>
      </c>
      <c r="R211">
        <v>278</v>
      </c>
      <c r="S211">
        <v>362</v>
      </c>
      <c r="T211">
        <v>798</v>
      </c>
    </row>
    <row r="212" spans="15:20" x14ac:dyDescent="0.3">
      <c r="O212">
        <v>211</v>
      </c>
      <c r="P212" t="s">
        <v>166</v>
      </c>
      <c r="Q212" t="s">
        <v>34</v>
      </c>
      <c r="R212">
        <v>445</v>
      </c>
      <c r="S212">
        <v>460</v>
      </c>
      <c r="T212">
        <v>530</v>
      </c>
    </row>
    <row r="213" spans="15:20" x14ac:dyDescent="0.3">
      <c r="O213">
        <v>212</v>
      </c>
      <c r="P213" t="s">
        <v>166</v>
      </c>
      <c r="Q213" t="s">
        <v>37</v>
      </c>
      <c r="R213">
        <v>330</v>
      </c>
      <c r="S213">
        <v>254</v>
      </c>
      <c r="T213">
        <v>853</v>
      </c>
    </row>
    <row r="214" spans="15:20" x14ac:dyDescent="0.3">
      <c r="O214">
        <v>213</v>
      </c>
      <c r="P214" t="s">
        <v>167</v>
      </c>
      <c r="Q214" t="s">
        <v>34</v>
      </c>
      <c r="R214">
        <v>284</v>
      </c>
      <c r="S214">
        <v>200</v>
      </c>
      <c r="T214">
        <v>955</v>
      </c>
    </row>
    <row r="215" spans="15:20" x14ac:dyDescent="0.3">
      <c r="O215">
        <v>214</v>
      </c>
      <c r="P215" t="s">
        <v>167</v>
      </c>
      <c r="Q215" t="s">
        <v>37</v>
      </c>
      <c r="R215">
        <v>227</v>
      </c>
      <c r="S215">
        <v>232</v>
      </c>
      <c r="T215">
        <v>979</v>
      </c>
    </row>
    <row r="216" spans="15:20" x14ac:dyDescent="0.3">
      <c r="O216">
        <v>215</v>
      </c>
      <c r="P216" t="s">
        <v>168</v>
      </c>
      <c r="Q216" t="s">
        <v>34</v>
      </c>
      <c r="R216">
        <v>0</v>
      </c>
      <c r="S216">
        <v>0</v>
      </c>
      <c r="T216">
        <v>1440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1440</v>
      </c>
    </row>
    <row r="218" spans="15:20" x14ac:dyDescent="0.3">
      <c r="O218">
        <v>217</v>
      </c>
      <c r="P218" t="s">
        <v>169</v>
      </c>
      <c r="Q218" t="s">
        <v>34</v>
      </c>
      <c r="R218">
        <v>335</v>
      </c>
      <c r="S218">
        <v>572</v>
      </c>
      <c r="T218">
        <v>531</v>
      </c>
    </row>
    <row r="219" spans="15:20" x14ac:dyDescent="0.3">
      <c r="O219">
        <v>218</v>
      </c>
      <c r="P219" t="s">
        <v>169</v>
      </c>
      <c r="Q219" t="s">
        <v>37</v>
      </c>
      <c r="R219">
        <v>357</v>
      </c>
      <c r="S219">
        <v>288</v>
      </c>
      <c r="T219">
        <v>792</v>
      </c>
    </row>
    <row r="220" spans="15:20" x14ac:dyDescent="0.3">
      <c r="O220">
        <v>219</v>
      </c>
      <c r="P220" t="s">
        <v>170</v>
      </c>
      <c r="Q220" t="s">
        <v>34</v>
      </c>
      <c r="R220">
        <v>411</v>
      </c>
      <c r="S220">
        <v>497</v>
      </c>
      <c r="T220">
        <v>530</v>
      </c>
    </row>
    <row r="221" spans="15:20" x14ac:dyDescent="0.3">
      <c r="O221">
        <v>220</v>
      </c>
      <c r="P221" t="s">
        <v>170</v>
      </c>
      <c r="Q221" t="s">
        <v>37</v>
      </c>
      <c r="R221">
        <v>365</v>
      </c>
      <c r="S221">
        <v>272</v>
      </c>
      <c r="T221">
        <v>797</v>
      </c>
    </row>
    <row r="222" spans="15:20" x14ac:dyDescent="0.3">
      <c r="O222">
        <v>221</v>
      </c>
      <c r="P222" t="s">
        <v>171</v>
      </c>
      <c r="Q222" t="s">
        <v>34</v>
      </c>
      <c r="R222">
        <v>432</v>
      </c>
      <c r="S222">
        <v>475</v>
      </c>
      <c r="T222">
        <v>530</v>
      </c>
    </row>
    <row r="223" spans="15:20" x14ac:dyDescent="0.3">
      <c r="O223">
        <v>222</v>
      </c>
      <c r="P223" t="s">
        <v>171</v>
      </c>
      <c r="Q223" t="s">
        <v>37</v>
      </c>
      <c r="R223">
        <v>351</v>
      </c>
      <c r="S223">
        <v>294</v>
      </c>
      <c r="T223">
        <v>792</v>
      </c>
    </row>
    <row r="224" spans="15:20" x14ac:dyDescent="0.3">
      <c r="O224">
        <v>223</v>
      </c>
      <c r="P224" t="s">
        <v>172</v>
      </c>
      <c r="Q224" t="s">
        <v>34</v>
      </c>
      <c r="R224">
        <v>429</v>
      </c>
      <c r="S224">
        <v>477</v>
      </c>
      <c r="T224">
        <v>531</v>
      </c>
    </row>
    <row r="225" spans="15:20" x14ac:dyDescent="0.3">
      <c r="O225">
        <v>224</v>
      </c>
      <c r="P225" t="s">
        <v>172</v>
      </c>
      <c r="Q225" t="s">
        <v>37</v>
      </c>
      <c r="R225">
        <v>490</v>
      </c>
      <c r="S225">
        <v>630</v>
      </c>
      <c r="T225">
        <v>317</v>
      </c>
    </row>
    <row r="226" spans="15:20" x14ac:dyDescent="0.3">
      <c r="O226">
        <v>225</v>
      </c>
      <c r="P226" t="s">
        <v>173</v>
      </c>
      <c r="Q226" t="s">
        <v>34</v>
      </c>
      <c r="R226">
        <v>439</v>
      </c>
      <c r="S226">
        <v>469</v>
      </c>
      <c r="T226">
        <v>529</v>
      </c>
    </row>
    <row r="227" spans="15:20" x14ac:dyDescent="0.3">
      <c r="O227">
        <v>226</v>
      </c>
      <c r="P227" t="s">
        <v>173</v>
      </c>
      <c r="Q227" t="s">
        <v>37</v>
      </c>
      <c r="R227">
        <v>548</v>
      </c>
      <c r="S227">
        <v>571</v>
      </c>
      <c r="T227">
        <v>316</v>
      </c>
    </row>
    <row r="228" spans="15:20" x14ac:dyDescent="0.3">
      <c r="O228">
        <v>227</v>
      </c>
      <c r="P228" t="s">
        <v>174</v>
      </c>
      <c r="Q228" t="s">
        <v>34</v>
      </c>
      <c r="R228">
        <v>204</v>
      </c>
      <c r="S228">
        <v>280</v>
      </c>
      <c r="T228">
        <v>954</v>
      </c>
    </row>
    <row r="229" spans="15:20" x14ac:dyDescent="0.3">
      <c r="O229">
        <v>228</v>
      </c>
      <c r="P229" t="s">
        <v>174</v>
      </c>
      <c r="Q229" t="s">
        <v>37</v>
      </c>
      <c r="R229">
        <v>254</v>
      </c>
      <c r="S229">
        <v>209</v>
      </c>
      <c r="T229">
        <v>970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176</v>
      </c>
      <c r="Q232" t="s">
        <v>34</v>
      </c>
      <c r="R232">
        <v>357</v>
      </c>
      <c r="S232">
        <v>544</v>
      </c>
      <c r="T232">
        <v>537</v>
      </c>
    </row>
    <row r="233" spans="15:20" x14ac:dyDescent="0.3">
      <c r="O233">
        <v>232</v>
      </c>
      <c r="P233" t="s">
        <v>176</v>
      </c>
      <c r="Q233" t="s">
        <v>37</v>
      </c>
      <c r="R233">
        <v>271</v>
      </c>
      <c r="S233">
        <v>373</v>
      </c>
      <c r="T233">
        <v>794</v>
      </c>
    </row>
    <row r="234" spans="15:20" x14ac:dyDescent="0.3">
      <c r="O234">
        <v>233</v>
      </c>
      <c r="P234" t="s">
        <v>177</v>
      </c>
      <c r="Q234" t="s">
        <v>34</v>
      </c>
      <c r="R234">
        <v>301</v>
      </c>
      <c r="S234">
        <v>583</v>
      </c>
      <c r="T234">
        <v>554</v>
      </c>
    </row>
    <row r="235" spans="15:20" x14ac:dyDescent="0.3">
      <c r="O235">
        <v>234</v>
      </c>
      <c r="P235" t="s">
        <v>177</v>
      </c>
      <c r="Q235" t="s">
        <v>37</v>
      </c>
      <c r="R235">
        <v>241</v>
      </c>
      <c r="S235">
        <v>404</v>
      </c>
      <c r="T235">
        <v>793</v>
      </c>
    </row>
    <row r="236" spans="15:20" x14ac:dyDescent="0.3">
      <c r="O236">
        <v>235</v>
      </c>
      <c r="P236" t="s">
        <v>178</v>
      </c>
      <c r="Q236" t="s">
        <v>34</v>
      </c>
      <c r="R236">
        <v>358</v>
      </c>
      <c r="S236">
        <v>549</v>
      </c>
      <c r="T236">
        <v>531</v>
      </c>
    </row>
    <row r="237" spans="15:20" x14ac:dyDescent="0.3">
      <c r="O237">
        <v>236</v>
      </c>
      <c r="P237" t="s">
        <v>178</v>
      </c>
      <c r="Q237" t="s">
        <v>37</v>
      </c>
      <c r="R237">
        <v>256</v>
      </c>
      <c r="S237">
        <v>322</v>
      </c>
      <c r="T237">
        <v>858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1440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1440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1440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1440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1440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1440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1440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1440</v>
      </c>
    </row>
    <row r="246" spans="15:20" x14ac:dyDescent="0.3">
      <c r="O246">
        <v>245</v>
      </c>
      <c r="P246" t="s">
        <v>183</v>
      </c>
      <c r="Q246" t="s">
        <v>34</v>
      </c>
      <c r="R246">
        <v>349</v>
      </c>
      <c r="S246">
        <v>166</v>
      </c>
      <c r="T246">
        <v>925</v>
      </c>
    </row>
    <row r="247" spans="15:20" x14ac:dyDescent="0.3">
      <c r="O247">
        <v>246</v>
      </c>
      <c r="P247" t="s">
        <v>183</v>
      </c>
      <c r="Q247" t="s">
        <v>37</v>
      </c>
      <c r="R247">
        <v>428</v>
      </c>
      <c r="S247">
        <v>567</v>
      </c>
      <c r="T247">
        <v>442</v>
      </c>
    </row>
    <row r="248" spans="15:20" x14ac:dyDescent="0.3">
      <c r="O248">
        <v>247</v>
      </c>
      <c r="P248" t="s">
        <v>184</v>
      </c>
      <c r="Q248" t="s">
        <v>34</v>
      </c>
      <c r="R248">
        <v>317</v>
      </c>
      <c r="S248">
        <v>201</v>
      </c>
      <c r="T248">
        <v>920</v>
      </c>
    </row>
    <row r="249" spans="15:20" x14ac:dyDescent="0.3">
      <c r="O249">
        <v>248</v>
      </c>
      <c r="P249" t="s">
        <v>184</v>
      </c>
      <c r="Q249" t="s">
        <v>37</v>
      </c>
      <c r="R249">
        <v>407</v>
      </c>
      <c r="S249">
        <v>591</v>
      </c>
      <c r="T249">
        <v>439</v>
      </c>
    </row>
    <row r="250" spans="15:20" x14ac:dyDescent="0.3">
      <c r="O250">
        <v>249</v>
      </c>
      <c r="P250" t="s">
        <v>185</v>
      </c>
      <c r="Q250" t="s">
        <v>34</v>
      </c>
      <c r="R250">
        <v>237</v>
      </c>
      <c r="S250">
        <v>282</v>
      </c>
      <c r="T250">
        <v>918</v>
      </c>
    </row>
    <row r="251" spans="15:20" x14ac:dyDescent="0.3">
      <c r="O251">
        <v>250</v>
      </c>
      <c r="P251" t="s">
        <v>185</v>
      </c>
      <c r="Q251" t="s">
        <v>37</v>
      </c>
      <c r="R251">
        <v>328</v>
      </c>
      <c r="S251">
        <v>675</v>
      </c>
      <c r="T251">
        <v>435</v>
      </c>
    </row>
    <row r="252" spans="15:20" x14ac:dyDescent="0.3">
      <c r="O252">
        <v>251</v>
      </c>
      <c r="P252" t="s">
        <v>186</v>
      </c>
      <c r="Q252" t="s">
        <v>34</v>
      </c>
      <c r="R252">
        <v>151</v>
      </c>
      <c r="S252">
        <v>364</v>
      </c>
      <c r="T252">
        <v>923</v>
      </c>
    </row>
    <row r="253" spans="15:20" x14ac:dyDescent="0.3">
      <c r="O253">
        <v>252</v>
      </c>
      <c r="P253" t="s">
        <v>186</v>
      </c>
      <c r="Q253" t="s">
        <v>37</v>
      </c>
      <c r="R253">
        <v>471</v>
      </c>
      <c r="S253">
        <v>631</v>
      </c>
      <c r="T253">
        <v>335</v>
      </c>
    </row>
    <row r="254" spans="15:20" x14ac:dyDescent="0.3">
      <c r="O254">
        <v>253</v>
      </c>
      <c r="P254" t="s">
        <v>187</v>
      </c>
      <c r="Q254" t="s">
        <v>34</v>
      </c>
      <c r="R254">
        <v>222</v>
      </c>
      <c r="S254">
        <v>283</v>
      </c>
      <c r="T254">
        <v>933</v>
      </c>
    </row>
    <row r="255" spans="15:20" x14ac:dyDescent="0.3">
      <c r="O255">
        <v>254</v>
      </c>
      <c r="P255" t="s">
        <v>187</v>
      </c>
      <c r="Q255" t="s">
        <v>37</v>
      </c>
      <c r="R255">
        <v>356</v>
      </c>
      <c r="S255">
        <v>645</v>
      </c>
      <c r="T255">
        <v>438</v>
      </c>
    </row>
    <row r="256" spans="15:20" x14ac:dyDescent="0.3">
      <c r="O256">
        <v>255</v>
      </c>
      <c r="P256" t="s">
        <v>188</v>
      </c>
      <c r="Q256" t="s">
        <v>34</v>
      </c>
      <c r="R256">
        <v>149</v>
      </c>
      <c r="S256">
        <v>345</v>
      </c>
      <c r="T256">
        <v>943</v>
      </c>
    </row>
    <row r="257" spans="15:20" x14ac:dyDescent="0.3">
      <c r="O257">
        <v>256</v>
      </c>
      <c r="P257" t="s">
        <v>188</v>
      </c>
      <c r="Q257" t="s">
        <v>37</v>
      </c>
      <c r="R257">
        <v>319</v>
      </c>
      <c r="S257">
        <v>562</v>
      </c>
      <c r="T257">
        <v>557</v>
      </c>
    </row>
    <row r="258" spans="15:20" x14ac:dyDescent="0.3">
      <c r="O258">
        <v>257</v>
      </c>
      <c r="P258" t="s">
        <v>189</v>
      </c>
      <c r="Q258" t="s">
        <v>34</v>
      </c>
      <c r="R258">
        <v>0</v>
      </c>
      <c r="S258">
        <v>0</v>
      </c>
      <c r="T258">
        <v>1440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1440</v>
      </c>
    </row>
    <row r="260" spans="15:20" x14ac:dyDescent="0.3">
      <c r="O260">
        <v>259</v>
      </c>
      <c r="P260" t="s">
        <v>190</v>
      </c>
      <c r="Q260" t="s">
        <v>34</v>
      </c>
      <c r="R260">
        <v>164</v>
      </c>
      <c r="S260">
        <v>362</v>
      </c>
      <c r="T260">
        <v>913</v>
      </c>
    </row>
    <row r="261" spans="15:20" x14ac:dyDescent="0.3">
      <c r="O261">
        <v>260</v>
      </c>
      <c r="P261" t="s">
        <v>190</v>
      </c>
      <c r="Q261" t="s">
        <v>37</v>
      </c>
      <c r="R261">
        <v>361</v>
      </c>
      <c r="S261">
        <v>692</v>
      </c>
      <c r="T261">
        <v>383</v>
      </c>
    </row>
    <row r="262" spans="15:20" x14ac:dyDescent="0.3">
      <c r="O262">
        <v>261</v>
      </c>
      <c r="P262" t="s">
        <v>191</v>
      </c>
      <c r="Q262" t="s">
        <v>34</v>
      </c>
      <c r="R262">
        <v>169</v>
      </c>
      <c r="S262">
        <v>353</v>
      </c>
      <c r="T262">
        <v>915</v>
      </c>
    </row>
    <row r="263" spans="15:20" x14ac:dyDescent="0.3">
      <c r="O263">
        <v>262</v>
      </c>
      <c r="P263" t="s">
        <v>191</v>
      </c>
      <c r="Q263" t="s">
        <v>37</v>
      </c>
      <c r="R263">
        <v>412</v>
      </c>
      <c r="S263">
        <v>576</v>
      </c>
      <c r="T263">
        <v>450</v>
      </c>
    </row>
    <row r="264" spans="15:20" x14ac:dyDescent="0.3">
      <c r="O264">
        <v>263</v>
      </c>
      <c r="P264" t="s">
        <v>192</v>
      </c>
      <c r="Q264" t="s">
        <v>34</v>
      </c>
      <c r="R264">
        <v>203</v>
      </c>
      <c r="S264">
        <v>314</v>
      </c>
      <c r="T264">
        <v>922</v>
      </c>
    </row>
    <row r="265" spans="15:20" x14ac:dyDescent="0.3">
      <c r="O265">
        <v>264</v>
      </c>
      <c r="P265" t="s">
        <v>192</v>
      </c>
      <c r="Q265" t="s">
        <v>37</v>
      </c>
      <c r="R265">
        <v>228</v>
      </c>
      <c r="S265">
        <v>327</v>
      </c>
      <c r="T265">
        <v>884</v>
      </c>
    </row>
    <row r="266" spans="15:20" x14ac:dyDescent="0.3">
      <c r="O266">
        <v>265</v>
      </c>
      <c r="P266" t="s">
        <v>193</v>
      </c>
      <c r="Q266" t="s">
        <v>34</v>
      </c>
      <c r="R266">
        <v>344</v>
      </c>
      <c r="S266">
        <v>626</v>
      </c>
      <c r="T266">
        <v>469</v>
      </c>
    </row>
    <row r="267" spans="15:20" x14ac:dyDescent="0.3">
      <c r="O267">
        <v>266</v>
      </c>
      <c r="P267" t="s">
        <v>193</v>
      </c>
      <c r="Q267" t="s">
        <v>37</v>
      </c>
      <c r="R267">
        <v>335</v>
      </c>
      <c r="S267">
        <v>719</v>
      </c>
      <c r="T267">
        <v>382</v>
      </c>
    </row>
    <row r="268" spans="15:20" x14ac:dyDescent="0.3">
      <c r="O268">
        <v>267</v>
      </c>
      <c r="P268" t="s">
        <v>194</v>
      </c>
      <c r="Q268" t="s">
        <v>34</v>
      </c>
      <c r="R268">
        <v>368</v>
      </c>
      <c r="S268">
        <v>592</v>
      </c>
      <c r="T268">
        <v>478</v>
      </c>
    </row>
    <row r="269" spans="15:20" x14ac:dyDescent="0.3">
      <c r="O269">
        <v>268</v>
      </c>
      <c r="P269" t="s">
        <v>194</v>
      </c>
      <c r="Q269" t="s">
        <v>37</v>
      </c>
      <c r="R269">
        <v>369</v>
      </c>
      <c r="S269">
        <v>687</v>
      </c>
      <c r="T269">
        <v>381</v>
      </c>
    </row>
    <row r="270" spans="15:20" x14ac:dyDescent="0.3">
      <c r="O270">
        <v>269</v>
      </c>
      <c r="P270" t="s">
        <v>195</v>
      </c>
      <c r="Q270" t="s">
        <v>34</v>
      </c>
      <c r="R270">
        <v>280</v>
      </c>
      <c r="S270">
        <v>681</v>
      </c>
      <c r="T270">
        <v>478</v>
      </c>
    </row>
    <row r="271" spans="15:20" x14ac:dyDescent="0.3">
      <c r="O271">
        <v>270</v>
      </c>
      <c r="P271" t="s">
        <v>195</v>
      </c>
      <c r="Q271" t="s">
        <v>37</v>
      </c>
      <c r="R271">
        <v>152</v>
      </c>
      <c r="S271">
        <v>317</v>
      </c>
      <c r="T271">
        <v>969</v>
      </c>
    </row>
    <row r="272" spans="15:20" x14ac:dyDescent="0.3">
      <c r="O272">
        <v>271</v>
      </c>
      <c r="P272" t="s">
        <v>196</v>
      </c>
      <c r="Q272" t="s">
        <v>34</v>
      </c>
      <c r="R272">
        <v>0</v>
      </c>
      <c r="S272">
        <v>0</v>
      </c>
      <c r="T272">
        <v>1440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1440</v>
      </c>
    </row>
    <row r="274" spans="15:20" x14ac:dyDescent="0.3">
      <c r="O274">
        <v>273</v>
      </c>
      <c r="P274" t="s">
        <v>197</v>
      </c>
      <c r="Q274" t="s">
        <v>34</v>
      </c>
      <c r="R274">
        <v>322</v>
      </c>
      <c r="S274">
        <v>709</v>
      </c>
      <c r="T274">
        <v>406</v>
      </c>
    </row>
    <row r="275" spans="15:20" x14ac:dyDescent="0.3">
      <c r="O275">
        <v>274</v>
      </c>
      <c r="P275" t="s">
        <v>197</v>
      </c>
      <c r="Q275" t="s">
        <v>37</v>
      </c>
      <c r="R275">
        <v>310</v>
      </c>
      <c r="S275">
        <v>691</v>
      </c>
      <c r="T275">
        <v>437</v>
      </c>
    </row>
    <row r="276" spans="15:20" x14ac:dyDescent="0.3">
      <c r="O276">
        <v>275</v>
      </c>
      <c r="P276" t="s">
        <v>198</v>
      </c>
      <c r="Q276" t="s">
        <v>34</v>
      </c>
      <c r="R276">
        <v>404</v>
      </c>
      <c r="S276">
        <v>631</v>
      </c>
      <c r="T276">
        <v>402</v>
      </c>
    </row>
    <row r="277" spans="15:20" x14ac:dyDescent="0.3">
      <c r="O277">
        <v>276</v>
      </c>
      <c r="P277" t="s">
        <v>198</v>
      </c>
      <c r="Q277" t="s">
        <v>37</v>
      </c>
      <c r="R277">
        <v>397</v>
      </c>
      <c r="S277">
        <v>601</v>
      </c>
      <c r="T277">
        <v>438</v>
      </c>
    </row>
    <row r="278" spans="15:20" x14ac:dyDescent="0.3">
      <c r="O278">
        <v>277</v>
      </c>
      <c r="P278" t="s">
        <v>199</v>
      </c>
      <c r="Q278" t="s">
        <v>34</v>
      </c>
      <c r="R278">
        <v>524</v>
      </c>
      <c r="S278">
        <v>0</v>
      </c>
      <c r="T278">
        <v>915</v>
      </c>
    </row>
    <row r="279" spans="15:20" x14ac:dyDescent="0.3">
      <c r="O279">
        <v>278</v>
      </c>
      <c r="P279" t="s">
        <v>199</v>
      </c>
      <c r="Q279" t="s">
        <v>37</v>
      </c>
      <c r="R279">
        <v>342</v>
      </c>
      <c r="S279">
        <v>652</v>
      </c>
      <c r="T279">
        <v>444</v>
      </c>
    </row>
    <row r="280" spans="15:20" x14ac:dyDescent="0.3">
      <c r="O280">
        <v>279</v>
      </c>
      <c r="P280" t="s">
        <v>200</v>
      </c>
      <c r="Q280" t="s">
        <v>34</v>
      </c>
      <c r="R280">
        <v>341</v>
      </c>
      <c r="S280">
        <v>694</v>
      </c>
      <c r="T280">
        <v>402</v>
      </c>
    </row>
    <row r="281" spans="15:20" x14ac:dyDescent="0.3">
      <c r="O281">
        <v>280</v>
      </c>
      <c r="P281" t="s">
        <v>200</v>
      </c>
      <c r="Q281" t="s">
        <v>37</v>
      </c>
      <c r="R281">
        <v>368</v>
      </c>
      <c r="S281">
        <v>631</v>
      </c>
      <c r="T281">
        <v>438</v>
      </c>
    </row>
    <row r="282" spans="15:20" x14ac:dyDescent="0.3">
      <c r="O282">
        <v>281</v>
      </c>
      <c r="P282" t="s">
        <v>201</v>
      </c>
      <c r="Q282" t="s">
        <v>34</v>
      </c>
      <c r="R282">
        <v>352</v>
      </c>
      <c r="S282">
        <v>682</v>
      </c>
      <c r="T282">
        <v>405</v>
      </c>
    </row>
    <row r="283" spans="15:20" x14ac:dyDescent="0.3">
      <c r="O283">
        <v>282</v>
      </c>
      <c r="P283" t="s">
        <v>201</v>
      </c>
      <c r="Q283" t="s">
        <v>37</v>
      </c>
      <c r="R283">
        <v>333</v>
      </c>
      <c r="S283">
        <v>602</v>
      </c>
      <c r="T283">
        <v>501</v>
      </c>
    </row>
    <row r="284" spans="15:20" x14ac:dyDescent="0.3">
      <c r="O284">
        <v>283</v>
      </c>
      <c r="P284" t="s">
        <v>202</v>
      </c>
      <c r="Q284" t="s">
        <v>34</v>
      </c>
      <c r="R284">
        <v>173</v>
      </c>
      <c r="S284">
        <v>313</v>
      </c>
      <c r="T284">
        <v>952</v>
      </c>
    </row>
    <row r="285" spans="15:20" x14ac:dyDescent="0.3">
      <c r="O285">
        <v>284</v>
      </c>
      <c r="P285" t="s">
        <v>202</v>
      </c>
      <c r="Q285" t="s">
        <v>37</v>
      </c>
      <c r="R285">
        <v>129</v>
      </c>
      <c r="S285">
        <v>340</v>
      </c>
      <c r="T285">
        <v>970</v>
      </c>
    </row>
    <row r="286" spans="15:20" x14ac:dyDescent="0.3">
      <c r="O286">
        <v>285</v>
      </c>
      <c r="P286" t="s">
        <v>203</v>
      </c>
      <c r="Q286" t="s">
        <v>34</v>
      </c>
      <c r="R286">
        <v>0</v>
      </c>
      <c r="S286">
        <v>0</v>
      </c>
      <c r="T286">
        <v>1440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1440</v>
      </c>
    </row>
    <row r="288" spans="15:20" x14ac:dyDescent="0.3">
      <c r="O288">
        <v>287</v>
      </c>
      <c r="P288" t="s">
        <v>204</v>
      </c>
      <c r="Q288" t="s">
        <v>34</v>
      </c>
      <c r="R288">
        <v>389</v>
      </c>
      <c r="S288">
        <v>581</v>
      </c>
      <c r="T288">
        <v>468</v>
      </c>
    </row>
    <row r="289" spans="15:20" x14ac:dyDescent="0.3">
      <c r="O289">
        <v>288</v>
      </c>
      <c r="P289" t="s">
        <v>204</v>
      </c>
      <c r="Q289" t="s">
        <v>37</v>
      </c>
      <c r="R289">
        <v>302</v>
      </c>
      <c r="S289">
        <v>756</v>
      </c>
      <c r="T289">
        <v>380</v>
      </c>
    </row>
    <row r="290" spans="15:20" x14ac:dyDescent="0.3">
      <c r="O290">
        <v>289</v>
      </c>
      <c r="P290" t="s">
        <v>205</v>
      </c>
      <c r="Q290" t="s">
        <v>34</v>
      </c>
      <c r="R290">
        <v>366</v>
      </c>
      <c r="S290">
        <v>668</v>
      </c>
      <c r="T290">
        <v>404</v>
      </c>
    </row>
    <row r="291" spans="15:20" x14ac:dyDescent="0.3">
      <c r="O291">
        <v>290</v>
      </c>
      <c r="P291" t="s">
        <v>205</v>
      </c>
      <c r="Q291" t="s">
        <v>37</v>
      </c>
      <c r="R291">
        <v>281</v>
      </c>
      <c r="S291">
        <v>778</v>
      </c>
      <c r="T291">
        <v>379</v>
      </c>
    </row>
    <row r="292" spans="15:20" x14ac:dyDescent="0.3">
      <c r="O292">
        <v>291</v>
      </c>
      <c r="P292" t="s">
        <v>206</v>
      </c>
      <c r="Q292" t="s">
        <v>34</v>
      </c>
      <c r="R292">
        <v>312</v>
      </c>
      <c r="S292">
        <v>721</v>
      </c>
      <c r="T292">
        <v>405</v>
      </c>
    </row>
    <row r="293" spans="15:20" x14ac:dyDescent="0.3">
      <c r="O293">
        <v>292</v>
      </c>
      <c r="P293" t="s">
        <v>206</v>
      </c>
      <c r="Q293" t="s">
        <v>37</v>
      </c>
      <c r="R293">
        <v>289</v>
      </c>
      <c r="S293">
        <v>763</v>
      </c>
      <c r="T293">
        <v>385</v>
      </c>
    </row>
    <row r="294" spans="15:20" x14ac:dyDescent="0.3">
      <c r="O294">
        <v>293</v>
      </c>
      <c r="P294" t="s">
        <v>207</v>
      </c>
      <c r="Q294" t="s">
        <v>34</v>
      </c>
      <c r="R294">
        <v>324</v>
      </c>
      <c r="S294">
        <v>663</v>
      </c>
      <c r="T294">
        <v>452</v>
      </c>
    </row>
    <row r="295" spans="15:20" x14ac:dyDescent="0.3">
      <c r="O295">
        <v>294</v>
      </c>
      <c r="P295" t="s">
        <v>207</v>
      </c>
      <c r="Q295" t="s">
        <v>37</v>
      </c>
      <c r="R295">
        <v>121</v>
      </c>
      <c r="S295">
        <v>433</v>
      </c>
      <c r="T295">
        <v>884</v>
      </c>
    </row>
    <row r="296" spans="15:20" x14ac:dyDescent="0.3">
      <c r="O296">
        <v>295</v>
      </c>
      <c r="P296" t="s">
        <v>208</v>
      </c>
      <c r="Q296" t="s">
        <v>34</v>
      </c>
      <c r="R296">
        <v>394</v>
      </c>
      <c r="S296">
        <v>633</v>
      </c>
      <c r="T296">
        <v>410</v>
      </c>
    </row>
    <row r="297" spans="15:20" x14ac:dyDescent="0.3">
      <c r="O297">
        <v>296</v>
      </c>
      <c r="P297" t="s">
        <v>208</v>
      </c>
      <c r="Q297" t="s">
        <v>37</v>
      </c>
      <c r="R297">
        <v>362</v>
      </c>
      <c r="S297">
        <v>699</v>
      </c>
      <c r="T297">
        <v>377</v>
      </c>
    </row>
    <row r="298" spans="15:20" x14ac:dyDescent="0.3">
      <c r="O298">
        <v>297</v>
      </c>
      <c r="P298" t="s">
        <v>209</v>
      </c>
      <c r="Q298" t="s">
        <v>34</v>
      </c>
      <c r="R298">
        <v>0</v>
      </c>
      <c r="S298">
        <v>0</v>
      </c>
      <c r="T298">
        <v>1440</v>
      </c>
    </row>
    <row r="299" spans="15:20" x14ac:dyDescent="0.3">
      <c r="O299">
        <v>298</v>
      </c>
      <c r="P299" t="s">
        <v>209</v>
      </c>
      <c r="Q299" t="s">
        <v>37</v>
      </c>
      <c r="R299">
        <v>0</v>
      </c>
      <c r="S299">
        <v>0</v>
      </c>
      <c r="T299">
        <v>1440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1403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1440</v>
      </c>
    </row>
    <row r="302" spans="15:20" x14ac:dyDescent="0.3">
      <c r="O302">
        <v>301</v>
      </c>
      <c r="P302" t="s">
        <v>33</v>
      </c>
      <c r="Q302" t="s">
        <v>34</v>
      </c>
      <c r="R302">
        <v>160</v>
      </c>
      <c r="S302">
        <v>356</v>
      </c>
      <c r="T302">
        <v>922</v>
      </c>
    </row>
    <row r="303" spans="15:20" x14ac:dyDescent="0.3">
      <c r="O303">
        <v>302</v>
      </c>
      <c r="P303" t="s">
        <v>33</v>
      </c>
      <c r="Q303" t="s">
        <v>37</v>
      </c>
      <c r="R303">
        <v>161</v>
      </c>
      <c r="S303">
        <v>287</v>
      </c>
      <c r="T303">
        <v>993</v>
      </c>
    </row>
    <row r="304" spans="15:20" x14ac:dyDescent="0.3">
      <c r="O304">
        <v>303</v>
      </c>
      <c r="P304" t="s">
        <v>39</v>
      </c>
      <c r="Q304" t="s">
        <v>34</v>
      </c>
      <c r="R304">
        <v>236</v>
      </c>
      <c r="S304">
        <v>280</v>
      </c>
      <c r="T304">
        <v>922</v>
      </c>
    </row>
    <row r="305" spans="15:20" x14ac:dyDescent="0.3">
      <c r="O305">
        <v>304</v>
      </c>
      <c r="P305" t="s">
        <v>39</v>
      </c>
      <c r="Q305" t="s">
        <v>37</v>
      </c>
      <c r="R305">
        <v>231</v>
      </c>
      <c r="S305">
        <v>207</v>
      </c>
      <c r="T305">
        <v>1001</v>
      </c>
    </row>
    <row r="306" spans="15:20" x14ac:dyDescent="0.3">
      <c r="O306">
        <v>305</v>
      </c>
      <c r="P306" t="s">
        <v>43</v>
      </c>
      <c r="Q306" t="s">
        <v>34</v>
      </c>
      <c r="R306">
        <v>236</v>
      </c>
      <c r="S306">
        <v>279</v>
      </c>
      <c r="T306">
        <v>923</v>
      </c>
    </row>
    <row r="307" spans="15:20" x14ac:dyDescent="0.3">
      <c r="O307">
        <v>306</v>
      </c>
      <c r="P307" t="s">
        <v>43</v>
      </c>
      <c r="Q307" t="s">
        <v>37</v>
      </c>
      <c r="R307">
        <v>174</v>
      </c>
      <c r="S307">
        <v>266</v>
      </c>
      <c r="T307">
        <v>999</v>
      </c>
    </row>
    <row r="308" spans="15:20" x14ac:dyDescent="0.3">
      <c r="O308">
        <v>307</v>
      </c>
      <c r="P308" t="s">
        <v>48</v>
      </c>
      <c r="Q308" t="s">
        <v>34</v>
      </c>
      <c r="R308">
        <v>219</v>
      </c>
      <c r="S308">
        <v>297</v>
      </c>
      <c r="T308">
        <v>922</v>
      </c>
    </row>
    <row r="309" spans="15:20" x14ac:dyDescent="0.3">
      <c r="O309">
        <v>308</v>
      </c>
      <c r="P309" t="s">
        <v>48</v>
      </c>
      <c r="Q309" t="s">
        <v>37</v>
      </c>
      <c r="R309">
        <v>218</v>
      </c>
      <c r="S309">
        <v>223</v>
      </c>
      <c r="T309">
        <v>998</v>
      </c>
    </row>
    <row r="310" spans="15:20" x14ac:dyDescent="0.3">
      <c r="O310">
        <v>309</v>
      </c>
      <c r="P310" t="s">
        <v>52</v>
      </c>
      <c r="Q310" t="s">
        <v>34</v>
      </c>
      <c r="R310">
        <v>145</v>
      </c>
      <c r="S310">
        <v>371</v>
      </c>
      <c r="T310">
        <v>922</v>
      </c>
    </row>
    <row r="311" spans="15:20" x14ac:dyDescent="0.3">
      <c r="O311">
        <v>310</v>
      </c>
      <c r="P311" t="s">
        <v>52</v>
      </c>
      <c r="Q311" t="s">
        <v>37</v>
      </c>
      <c r="R311">
        <v>226</v>
      </c>
      <c r="S311">
        <v>212</v>
      </c>
      <c r="T311">
        <v>1000</v>
      </c>
    </row>
    <row r="312" spans="15:20" x14ac:dyDescent="0.3">
      <c r="O312">
        <v>311</v>
      </c>
      <c r="P312" t="s">
        <v>56</v>
      </c>
      <c r="Q312" t="s">
        <v>34</v>
      </c>
      <c r="R312">
        <v>192</v>
      </c>
      <c r="S312">
        <v>301</v>
      </c>
      <c r="T312">
        <v>945</v>
      </c>
    </row>
    <row r="313" spans="15:20" x14ac:dyDescent="0.3">
      <c r="O313">
        <v>312</v>
      </c>
      <c r="P313" t="s">
        <v>56</v>
      </c>
      <c r="Q313" t="s">
        <v>37</v>
      </c>
      <c r="R313">
        <v>424</v>
      </c>
      <c r="S313">
        <v>519</v>
      </c>
      <c r="T313">
        <v>495</v>
      </c>
    </row>
    <row r="314" spans="15:20" x14ac:dyDescent="0.3">
      <c r="O314">
        <v>313</v>
      </c>
      <c r="P314" t="s">
        <v>60</v>
      </c>
      <c r="Q314" t="s">
        <v>34</v>
      </c>
      <c r="R314">
        <v>0</v>
      </c>
      <c r="S314">
        <v>0</v>
      </c>
      <c r="T314">
        <v>1440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1440</v>
      </c>
    </row>
    <row r="316" spans="15:20" x14ac:dyDescent="0.3">
      <c r="O316">
        <v>315</v>
      </c>
      <c r="P316" t="s">
        <v>62</v>
      </c>
      <c r="Q316" t="s">
        <v>34</v>
      </c>
      <c r="R316">
        <v>231</v>
      </c>
      <c r="S316">
        <v>285</v>
      </c>
      <c r="T316">
        <v>923</v>
      </c>
    </row>
    <row r="317" spans="15:20" x14ac:dyDescent="0.3">
      <c r="O317">
        <v>316</v>
      </c>
      <c r="P317" t="s">
        <v>62</v>
      </c>
      <c r="Q317" t="s">
        <v>37</v>
      </c>
      <c r="R317">
        <v>151</v>
      </c>
      <c r="S317">
        <v>404</v>
      </c>
      <c r="T317">
        <v>884</v>
      </c>
    </row>
    <row r="318" spans="15:20" x14ac:dyDescent="0.3">
      <c r="O318">
        <v>317</v>
      </c>
      <c r="P318" t="s">
        <v>64</v>
      </c>
      <c r="Q318" t="s">
        <v>34</v>
      </c>
      <c r="R318">
        <v>207</v>
      </c>
      <c r="S318">
        <v>308</v>
      </c>
      <c r="T318">
        <v>924</v>
      </c>
    </row>
    <row r="319" spans="15:20" x14ac:dyDescent="0.3">
      <c r="O319">
        <v>318</v>
      </c>
      <c r="P319" t="s">
        <v>64</v>
      </c>
      <c r="Q319" t="s">
        <v>37</v>
      </c>
      <c r="R319">
        <v>158</v>
      </c>
      <c r="S319">
        <v>395</v>
      </c>
      <c r="T319">
        <v>885</v>
      </c>
    </row>
    <row r="320" spans="15:20" x14ac:dyDescent="0.3">
      <c r="O320">
        <v>319</v>
      </c>
      <c r="P320" t="s">
        <v>66</v>
      </c>
      <c r="Q320" t="s">
        <v>34</v>
      </c>
      <c r="R320">
        <v>189</v>
      </c>
      <c r="S320">
        <v>318</v>
      </c>
      <c r="T320">
        <v>931</v>
      </c>
    </row>
    <row r="321" spans="15:20" x14ac:dyDescent="0.3">
      <c r="O321">
        <v>320</v>
      </c>
      <c r="P321" t="s">
        <v>66</v>
      </c>
      <c r="Q321" t="s">
        <v>37</v>
      </c>
      <c r="R321">
        <v>151</v>
      </c>
      <c r="S321">
        <v>345</v>
      </c>
      <c r="T321">
        <v>943</v>
      </c>
    </row>
    <row r="322" spans="15:20" x14ac:dyDescent="0.3">
      <c r="O322">
        <v>321</v>
      </c>
      <c r="P322" t="s">
        <v>68</v>
      </c>
      <c r="Q322" t="s">
        <v>34</v>
      </c>
      <c r="R322">
        <v>181</v>
      </c>
      <c r="S322">
        <v>335</v>
      </c>
      <c r="T322">
        <v>922</v>
      </c>
    </row>
    <row r="323" spans="15:20" x14ac:dyDescent="0.3">
      <c r="O323">
        <v>322</v>
      </c>
      <c r="P323" t="s">
        <v>68</v>
      </c>
      <c r="Q323" t="s">
        <v>37</v>
      </c>
      <c r="R323">
        <v>210</v>
      </c>
      <c r="S323">
        <v>345</v>
      </c>
      <c r="T323">
        <v>883</v>
      </c>
    </row>
    <row r="324" spans="15:20" x14ac:dyDescent="0.3">
      <c r="O324">
        <v>323</v>
      </c>
      <c r="P324" t="s">
        <v>70</v>
      </c>
      <c r="Q324" t="s">
        <v>34</v>
      </c>
      <c r="R324">
        <v>226</v>
      </c>
      <c r="S324">
        <v>289</v>
      </c>
      <c r="T324">
        <v>923</v>
      </c>
    </row>
    <row r="325" spans="15:20" x14ac:dyDescent="0.3">
      <c r="O325">
        <v>324</v>
      </c>
      <c r="P325" t="s">
        <v>70</v>
      </c>
      <c r="Q325" t="s">
        <v>37</v>
      </c>
      <c r="R325">
        <v>159</v>
      </c>
      <c r="S325">
        <v>397</v>
      </c>
      <c r="T325">
        <v>883</v>
      </c>
    </row>
    <row r="326" spans="15:20" x14ac:dyDescent="0.3">
      <c r="O326">
        <v>325</v>
      </c>
      <c r="P326" t="s">
        <v>72</v>
      </c>
      <c r="Q326" t="s">
        <v>34</v>
      </c>
      <c r="R326">
        <v>201</v>
      </c>
      <c r="S326">
        <v>299</v>
      </c>
      <c r="T326">
        <v>937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326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220</v>
      </c>
      <c r="E2">
        <v>813</v>
      </c>
      <c r="F2">
        <v>402</v>
      </c>
      <c r="H2" t="s">
        <v>35</v>
      </c>
      <c r="I2" s="1">
        <v>0.83294117647058818</v>
      </c>
      <c r="J2" s="1">
        <v>0.81978947368421051</v>
      </c>
      <c r="K2" s="1">
        <f>IFERROR(SUMIFS(S:S,P:P,"*/01/2026")/(SUMIFS(R:R,P:P,"*/01/2026")+SUMIFS(S:S,P:P,"*/01/2026")+SUMIFS(T:T,P:P,"*/01/2026")),"")</f>
        <v>0.50528801609003182</v>
      </c>
      <c r="L2" s="1">
        <f>IFERROR(SUMIFS(R:R,P:P,"*/01/2026")/(SUMIFS(R:R,P:P,"*/01/2026")+SUMIFS(S:S,P:P,"*/01/2026")+SUMIFS(T:T,P:P,"*/01/2026")),"")</f>
        <v>0.16860635917832364</v>
      </c>
      <c r="M2" s="1">
        <f>IFERROR(SUMIFS(T:T,P:P,"*/01/2026")/(SUMIFS(R:R,P:P,"*/01/2026")+SUMIFS(S:S,P:P,"*/01/2026")+SUMIFS(T:T,P:P,"*/01/2026")),"")</f>
        <v>0.32610562473164451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117</v>
      </c>
      <c r="E3">
        <v>1005</v>
      </c>
      <c r="F3">
        <v>315</v>
      </c>
      <c r="H3" t="s">
        <v>38</v>
      </c>
      <c r="I3" s="1">
        <v>0.83294117647058818</v>
      </c>
      <c r="J3" s="1">
        <v>0.81978947368421051</v>
      </c>
      <c r="K3" s="1">
        <f>IFERROR(SUMIFS(S:S,P:P,"*/02/2026")/(SUMIFS(R:R,P:P,"*/02/2026")+SUMIFS(S:S,P:P,"*/02/2026")+SUMIFS(T:T,P:P,"*/02/2026")),"")</f>
        <v>0.38390504598558289</v>
      </c>
      <c r="L3" s="1">
        <f>IFERROR(SUMIFS(R:R,P:P,"*/02/2026")/(SUMIFS(R:R,P:P,"*/02/2026")+SUMIFS(S:S,P:P,"*/02/2026")+SUMIFS(T:T,P:P,"*/02/2026")),"")</f>
        <v>0.15042257022122793</v>
      </c>
      <c r="M3" s="1">
        <f>IFERROR(SUMIFS(T:T,P:P,"*/02/2026")/(SUMIFS(R:R,P:P,"*/02/2026")+SUMIFS(S:S,P:P,"*/02/2026")+SUMIFS(T:T,P:P,"*/02/2026")),"")</f>
        <v>0.46567238379318915</v>
      </c>
      <c r="O3">
        <v>2</v>
      </c>
      <c r="P3" t="s">
        <v>36</v>
      </c>
      <c r="Q3" t="s">
        <v>37</v>
      </c>
      <c r="R3">
        <v>57</v>
      </c>
      <c r="S3">
        <v>84</v>
      </c>
      <c r="T3">
        <v>1297</v>
      </c>
    </row>
    <row r="4" spans="1:20" x14ac:dyDescent="0.3">
      <c r="A4">
        <v>3</v>
      </c>
      <c r="B4" t="s">
        <v>39</v>
      </c>
      <c r="C4" t="s">
        <v>34</v>
      </c>
      <c r="D4">
        <v>167</v>
      </c>
      <c r="E4">
        <v>868</v>
      </c>
      <c r="F4">
        <v>400</v>
      </c>
      <c r="H4" t="s">
        <v>40</v>
      </c>
      <c r="I4" s="1">
        <v>0.83294117647058818</v>
      </c>
      <c r="J4" s="1">
        <v>0.81978947368421051</v>
      </c>
      <c r="K4" s="1">
        <f>IFERROR(SUMIFS(S:S,P:P,"*/03/2026")/(SUMIFS(R:R,P:P,"*/03/2026")+SUMIFS(S:S,P:P,"*/03/2026")+SUMIFS(T:T,P:P,"*/03/2026")),"")</f>
        <v>0.54705922598006795</v>
      </c>
      <c r="L4" s="1">
        <f>IFERROR(SUMIFS(R:R,P:P,"*/03/2026")/(SUMIFS(R:R,P:P,"*/03/2026")+SUMIFS(S:S,P:P,"*/03/2026")+SUMIFS(T:T,P:P,"*/03/2026")),"")</f>
        <v>0.194793495860795</v>
      </c>
      <c r="M4" s="1">
        <f>IFERROR(SUMIFS(T:T,P:P,"*/03/2026")/(SUMIFS(R:R,P:P,"*/03/2026")+SUMIFS(S:S,P:P,"*/03/2026")+SUMIFS(T:T,P:P,"*/03/2026")),"")</f>
        <v>0.25814727815913702</v>
      </c>
      <c r="O4">
        <v>3</v>
      </c>
      <c r="P4" t="s">
        <v>41</v>
      </c>
      <c r="Q4" t="s">
        <v>34</v>
      </c>
      <c r="R4">
        <v>471</v>
      </c>
      <c r="S4">
        <v>963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75</v>
      </c>
      <c r="E5">
        <v>1046</v>
      </c>
      <c r="F5">
        <v>314</v>
      </c>
      <c r="H5" t="s">
        <v>42</v>
      </c>
      <c r="I5" s="1">
        <v>0.83294117647058818</v>
      </c>
      <c r="J5" s="1">
        <v>0.81978947368421051</v>
      </c>
      <c r="K5" s="1">
        <f>IFERROR(SUMIFS(S:S,P:P,"*/04/2026")/(SUMIFS(R:R,P:P,"*/04/2026")+SUMIFS(S:S,P:P,"*/04/2026")+SUMIFS(T:T,P:P,"*/04/2026")),"")</f>
        <v>0.53976046236334518</v>
      </c>
      <c r="L5" s="1">
        <f>IFERROR(SUMIFS(R:R,P:P,"*/04/2026")/(SUMIFS(R:R,P:P,"*/04/2026")+SUMIFS(S:S,P:P,"*/04/2026")+SUMIFS(T:T,P:P,"*/04/2026")),"")</f>
        <v>0.18283313603973725</v>
      </c>
      <c r="M5" s="1">
        <f>IFERROR(SUMIFS(T:T,P:P,"*/04/2026")/(SUMIFS(R:R,P:P,"*/04/2026")+SUMIFS(S:S,P:P,"*/04/2026")+SUMIFS(T:T,P:P,"*/04/2026")),"")</f>
        <v>0.2774064015969176</v>
      </c>
      <c r="O5">
        <v>4</v>
      </c>
      <c r="P5" t="s">
        <v>41</v>
      </c>
      <c r="Q5" t="s">
        <v>37</v>
      </c>
      <c r="R5">
        <v>300</v>
      </c>
      <c r="S5">
        <v>420</v>
      </c>
      <c r="T5">
        <v>714</v>
      </c>
    </row>
    <row r="6" spans="1:20" x14ac:dyDescent="0.3">
      <c r="A6">
        <v>5</v>
      </c>
      <c r="B6" t="s">
        <v>43</v>
      </c>
      <c r="C6" t="s">
        <v>34</v>
      </c>
      <c r="D6">
        <v>233</v>
      </c>
      <c r="E6">
        <v>798</v>
      </c>
      <c r="F6">
        <v>403</v>
      </c>
      <c r="H6" t="s">
        <v>44</v>
      </c>
      <c r="I6" s="1">
        <v>0.83294117647058818</v>
      </c>
      <c r="J6" s="1">
        <v>0.81978947368421051</v>
      </c>
      <c r="K6" s="1">
        <f>IFERROR(SUMIFS(S:S,P:P,"*/05/2026")/(SUMIFS(R:R,P:P,"*/05/2026")+SUMIFS(S:S,P:P,"*/05/2026")+SUMIFS(T:T,P:P,"*/05/2026")),"")</f>
        <v>0.49896631536369968</v>
      </c>
      <c r="L6" s="1">
        <f>IFERROR(SUMIFS(R:R,P:P,"*/05/2026")/(SUMIFS(R:R,P:P,"*/05/2026")+SUMIFS(S:S,P:P,"*/05/2026")+SUMIFS(T:T,P:P,"*/05/2026")),"")</f>
        <v>0.15740095728185882</v>
      </c>
      <c r="M6" s="1">
        <f>IFERROR(SUMIFS(T:T,P:P,"*/05/2026")/(SUMIFS(R:R,P:P,"*/05/2026")+SUMIFS(S:S,P:P,"*/05/2026")+SUMIFS(T:T,P:P,"*/05/2026")),"")</f>
        <v>0.34363272735444145</v>
      </c>
      <c r="O6">
        <v>5</v>
      </c>
      <c r="P6" t="s">
        <v>45</v>
      </c>
      <c r="Q6" t="s">
        <v>37</v>
      </c>
      <c r="R6">
        <v>433</v>
      </c>
      <c r="S6">
        <v>1584</v>
      </c>
      <c r="T6">
        <v>319</v>
      </c>
    </row>
    <row r="7" spans="1:20" x14ac:dyDescent="0.3">
      <c r="A7">
        <v>6</v>
      </c>
      <c r="B7" t="s">
        <v>43</v>
      </c>
      <c r="C7" t="s">
        <v>37</v>
      </c>
      <c r="D7">
        <v>159</v>
      </c>
      <c r="E7">
        <v>962</v>
      </c>
      <c r="F7">
        <v>313</v>
      </c>
      <c r="H7" t="s">
        <v>46</v>
      </c>
      <c r="I7" s="1">
        <v>0.83294117647058818</v>
      </c>
      <c r="J7" s="1">
        <v>0.81978947368421051</v>
      </c>
      <c r="K7" s="1">
        <f>IFERROR(SUMIFS(S:S,P:P,"*/06/2026")/(SUMIFS(R:R,P:P,"*/06/2026")+SUMIFS(S:S,P:P,"*/06/2026")+SUMIFS(T:T,P:P,"*/06/2026")),"")</f>
        <v>0.6062632341468851</v>
      </c>
      <c r="L7" s="1">
        <f>IFERROR(SUMIFS(R:R,P:P,"*/06/2026")/(SUMIFS(R:R,P:P,"*/06/2026")+SUMIFS(S:S,P:P,"*/06/2026")+SUMIFS(T:T,P:P,"*/06/2026")),"")</f>
        <v>0.17090159366989857</v>
      </c>
      <c r="M7" s="1">
        <f>IFERROR(SUMIFS(T:T,P:P,"*/06/2026")/(SUMIFS(R:R,P:P,"*/06/2026")+SUMIFS(S:S,P:P,"*/06/2026")+SUMIFS(T:T,P:P,"*/06/2026")),"")</f>
        <v>0.22283517218321633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272</v>
      </c>
      <c r="E8">
        <v>765</v>
      </c>
      <c r="F8">
        <v>397</v>
      </c>
      <c r="H8" t="s">
        <v>49</v>
      </c>
      <c r="I8" s="1">
        <v>0.83294117647058818</v>
      </c>
      <c r="J8" s="1">
        <v>0.81978947368421051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170</v>
      </c>
      <c r="E9">
        <v>949</v>
      </c>
      <c r="F9">
        <v>315</v>
      </c>
      <c r="H9" t="s">
        <v>50</v>
      </c>
      <c r="I9" s="1">
        <v>0.83294117647058818</v>
      </c>
      <c r="J9" s="1">
        <v>0.81978947368421051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333</v>
      </c>
      <c r="S9">
        <v>702</v>
      </c>
      <c r="T9">
        <v>400</v>
      </c>
    </row>
    <row r="10" spans="1:20" x14ac:dyDescent="0.3">
      <c r="A10">
        <v>9</v>
      </c>
      <c r="B10" t="s">
        <v>52</v>
      </c>
      <c r="C10" t="s">
        <v>34</v>
      </c>
      <c r="D10">
        <v>196</v>
      </c>
      <c r="E10">
        <v>840</v>
      </c>
      <c r="F10">
        <v>399</v>
      </c>
      <c r="H10" t="s">
        <v>53</v>
      </c>
      <c r="I10" s="1">
        <v>0.83294117647058818</v>
      </c>
      <c r="J10" s="1">
        <v>0.81978947368421051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291</v>
      </c>
      <c r="S10">
        <v>824</v>
      </c>
      <c r="T10">
        <v>304</v>
      </c>
    </row>
    <row r="11" spans="1:20" x14ac:dyDescent="0.3">
      <c r="A11">
        <v>10</v>
      </c>
      <c r="B11" t="s">
        <v>52</v>
      </c>
      <c r="C11" t="s">
        <v>37</v>
      </c>
      <c r="D11">
        <v>331</v>
      </c>
      <c r="E11">
        <v>945</v>
      </c>
      <c r="F11">
        <v>158</v>
      </c>
      <c r="H11" t="s">
        <v>54</v>
      </c>
      <c r="I11" s="1">
        <v>0.83294117647058818</v>
      </c>
      <c r="J11" s="1">
        <v>0.81978947368421051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217</v>
      </c>
      <c r="S11">
        <v>804</v>
      </c>
      <c r="T11">
        <v>414</v>
      </c>
    </row>
    <row r="12" spans="1:20" x14ac:dyDescent="0.3">
      <c r="A12">
        <v>11</v>
      </c>
      <c r="B12" t="s">
        <v>56</v>
      </c>
      <c r="C12" t="s">
        <v>34</v>
      </c>
      <c r="D12">
        <v>492</v>
      </c>
      <c r="E12">
        <v>715</v>
      </c>
      <c r="F12">
        <v>229</v>
      </c>
      <c r="H12" t="s">
        <v>57</v>
      </c>
      <c r="I12" s="1">
        <v>0.83294117647058818</v>
      </c>
      <c r="J12" s="1">
        <v>0.81978947368421051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283</v>
      </c>
      <c r="S12">
        <v>850</v>
      </c>
      <c r="T12">
        <v>303</v>
      </c>
    </row>
    <row r="13" spans="1:20" x14ac:dyDescent="0.3">
      <c r="A13">
        <v>12</v>
      </c>
      <c r="B13" t="s">
        <v>56</v>
      </c>
      <c r="C13" t="s">
        <v>37</v>
      </c>
      <c r="D13">
        <v>156</v>
      </c>
      <c r="E13">
        <v>785</v>
      </c>
      <c r="F13">
        <v>496</v>
      </c>
      <c r="H13" t="s">
        <v>58</v>
      </c>
      <c r="I13" s="1">
        <v>0.83294117647058818</v>
      </c>
      <c r="J13" s="1">
        <v>0.81978947368421051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81</v>
      </c>
      <c r="S13">
        <v>181</v>
      </c>
      <c r="T13">
        <v>1178</v>
      </c>
    </row>
    <row r="14" spans="1:20" x14ac:dyDescent="0.3">
      <c r="A14">
        <v>13</v>
      </c>
      <c r="B14" t="s">
        <v>60</v>
      </c>
      <c r="C14" t="s">
        <v>34</v>
      </c>
      <c r="D14">
        <v>172</v>
      </c>
      <c r="E14">
        <v>787</v>
      </c>
      <c r="F14">
        <v>475</v>
      </c>
      <c r="H14" t="str">
        <f>IF(B2="","",TEXT(B2,"dd/mm")&amp; "-" &amp;IF(UPPER(TRIM(C2))="CN",1,IF(UPPER(TRIM(C2))="CD",2,"")))</f>
        <v>01/06-1</v>
      </c>
      <c r="I14" s="1">
        <v>0.83294117647058818</v>
      </c>
      <c r="J14" s="1">
        <v>0.81978947368421051</v>
      </c>
      <c r="K14" s="1">
        <f t="shared" ref="K14:K45" si="0">IFERROR($E2/SUM($D2:$F2),"")</f>
        <v>0.56655052264808359</v>
      </c>
      <c r="L14" s="1">
        <f t="shared" ref="L14:L45" si="1">IFERROR($D2/SUM($D2:$F2),"")</f>
        <v>0.15331010452961671</v>
      </c>
      <c r="M14" s="1">
        <f t="shared" ref="M14:M45" si="2">IFERROR($F2/SUM($D2:$F2),"")</f>
        <v>0.28013937282229967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1440</v>
      </c>
      <c r="H15" t="str">
        <f t="shared" ref="H15:H46" si="3">IF(B3="","",TEXT(B3,"dd/mm") &amp; "-" &amp; IF(UPPER(TRIM(C3))="CN",1,IF(UPPER(TRIM(C3))="CD",2,"")))</f>
        <v>01/06-2</v>
      </c>
      <c r="I15" s="1">
        <v>0.83294117647058818</v>
      </c>
      <c r="J15" s="1">
        <v>0.81978947368421051</v>
      </c>
      <c r="K15" s="1">
        <f t="shared" si="0"/>
        <v>0.69937369519832981</v>
      </c>
      <c r="L15" s="1">
        <f t="shared" si="1"/>
        <v>8.1419624217118999E-2</v>
      </c>
      <c r="M15" s="1">
        <f t="shared" si="2"/>
        <v>0.21920668058455114</v>
      </c>
      <c r="O15">
        <v>14</v>
      </c>
      <c r="P15" t="s">
        <v>61</v>
      </c>
      <c r="Q15" t="s">
        <v>34</v>
      </c>
      <c r="R15">
        <v>401</v>
      </c>
      <c r="S15">
        <v>618</v>
      </c>
      <c r="T15">
        <v>418</v>
      </c>
    </row>
    <row r="16" spans="1:20" x14ac:dyDescent="0.3">
      <c r="A16">
        <v>15</v>
      </c>
      <c r="B16" t="s">
        <v>62</v>
      </c>
      <c r="C16" t="s">
        <v>34</v>
      </c>
      <c r="D16">
        <v>161</v>
      </c>
      <c r="E16">
        <v>872</v>
      </c>
      <c r="F16">
        <v>403</v>
      </c>
      <c r="H16" t="str">
        <f t="shared" si="3"/>
        <v>02/06-1</v>
      </c>
      <c r="I16" s="1">
        <v>0.83294117647058818</v>
      </c>
      <c r="J16" s="1">
        <v>0.81978947368421051</v>
      </c>
      <c r="K16" s="1">
        <f t="shared" si="0"/>
        <v>0.60487804878048779</v>
      </c>
      <c r="L16" s="1">
        <f t="shared" si="1"/>
        <v>0.11637630662020906</v>
      </c>
      <c r="M16" s="1">
        <f t="shared" si="2"/>
        <v>0.27874564459930312</v>
      </c>
      <c r="O16">
        <v>15</v>
      </c>
      <c r="P16" t="s">
        <v>61</v>
      </c>
      <c r="Q16" t="s">
        <v>37</v>
      </c>
      <c r="R16">
        <v>413</v>
      </c>
      <c r="S16">
        <v>722</v>
      </c>
      <c r="T16">
        <v>300</v>
      </c>
    </row>
    <row r="17" spans="1:20" x14ac:dyDescent="0.3">
      <c r="A17">
        <v>16</v>
      </c>
      <c r="B17" t="s">
        <v>62</v>
      </c>
      <c r="C17" t="s">
        <v>37</v>
      </c>
      <c r="D17">
        <v>276</v>
      </c>
      <c r="E17">
        <v>1002</v>
      </c>
      <c r="F17">
        <v>160</v>
      </c>
      <c r="H17" t="str">
        <f t="shared" si="3"/>
        <v>02/06-2</v>
      </c>
      <c r="I17" s="1">
        <v>0.83294117647058818</v>
      </c>
      <c r="J17" s="1">
        <v>0.81978947368421051</v>
      </c>
      <c r="K17" s="1">
        <f t="shared" si="0"/>
        <v>0.72891986062717773</v>
      </c>
      <c r="L17" s="1">
        <f t="shared" si="1"/>
        <v>5.2264808362369339E-2</v>
      </c>
      <c r="M17" s="1">
        <f t="shared" si="2"/>
        <v>0.21881533101045297</v>
      </c>
      <c r="O17">
        <v>16</v>
      </c>
      <c r="P17" t="s">
        <v>63</v>
      </c>
      <c r="Q17" t="s">
        <v>34</v>
      </c>
      <c r="R17">
        <v>478</v>
      </c>
      <c r="S17">
        <v>540</v>
      </c>
      <c r="T17">
        <v>417</v>
      </c>
    </row>
    <row r="18" spans="1:20" x14ac:dyDescent="0.3">
      <c r="A18">
        <v>17</v>
      </c>
      <c r="B18" t="s">
        <v>64</v>
      </c>
      <c r="C18" t="s">
        <v>34</v>
      </c>
      <c r="D18">
        <v>459</v>
      </c>
      <c r="E18">
        <v>774</v>
      </c>
      <c r="F18">
        <v>203</v>
      </c>
      <c r="H18" t="str">
        <f t="shared" si="3"/>
        <v>03/06-1</v>
      </c>
      <c r="I18" s="1">
        <v>0.83294117647058818</v>
      </c>
      <c r="J18" s="1">
        <v>0.81978947368421051</v>
      </c>
      <c r="K18" s="1">
        <f t="shared" si="0"/>
        <v>0.55648535564853552</v>
      </c>
      <c r="L18" s="1">
        <f t="shared" si="1"/>
        <v>0.16248256624825663</v>
      </c>
      <c r="M18" s="1">
        <f t="shared" si="2"/>
        <v>0.28103207810320779</v>
      </c>
      <c r="O18">
        <v>17</v>
      </c>
      <c r="P18" t="s">
        <v>63</v>
      </c>
      <c r="Q18" t="s">
        <v>37</v>
      </c>
      <c r="R18">
        <v>326</v>
      </c>
      <c r="S18">
        <v>799</v>
      </c>
      <c r="T18">
        <v>310</v>
      </c>
    </row>
    <row r="19" spans="1:20" x14ac:dyDescent="0.3">
      <c r="A19">
        <v>18</v>
      </c>
      <c r="B19" t="s">
        <v>64</v>
      </c>
      <c r="C19" t="s">
        <v>37</v>
      </c>
      <c r="D19">
        <v>229</v>
      </c>
      <c r="E19">
        <v>1049</v>
      </c>
      <c r="F19">
        <v>159</v>
      </c>
      <c r="H19" t="str">
        <f t="shared" si="3"/>
        <v>03/06-2</v>
      </c>
      <c r="I19" s="1">
        <v>0.83294117647058818</v>
      </c>
      <c r="J19" s="1">
        <v>0.81978947368421051</v>
      </c>
      <c r="K19" s="1">
        <f t="shared" si="0"/>
        <v>0.67085076708507674</v>
      </c>
      <c r="L19" s="1">
        <f t="shared" si="1"/>
        <v>0.11087866108786611</v>
      </c>
      <c r="M19" s="1">
        <f t="shared" si="2"/>
        <v>0.21827057182705717</v>
      </c>
      <c r="O19">
        <v>18</v>
      </c>
      <c r="P19" t="s">
        <v>65</v>
      </c>
      <c r="Q19" t="s">
        <v>34</v>
      </c>
      <c r="R19">
        <v>159</v>
      </c>
      <c r="S19">
        <v>795</v>
      </c>
      <c r="T19">
        <v>480</v>
      </c>
    </row>
    <row r="20" spans="1:20" x14ac:dyDescent="0.3">
      <c r="A20">
        <v>19</v>
      </c>
      <c r="B20" t="s">
        <v>66</v>
      </c>
      <c r="C20" t="s">
        <v>34</v>
      </c>
      <c r="D20">
        <v>370</v>
      </c>
      <c r="E20">
        <v>865</v>
      </c>
      <c r="F20">
        <v>202</v>
      </c>
      <c r="H20" t="str">
        <f t="shared" si="3"/>
        <v>04/06-1</v>
      </c>
      <c r="I20" s="1">
        <v>0.83294117647058818</v>
      </c>
      <c r="J20" s="1">
        <v>0.81978947368421051</v>
      </c>
      <c r="K20" s="1">
        <f t="shared" si="0"/>
        <v>0.53347280334728031</v>
      </c>
      <c r="L20" s="1">
        <f t="shared" si="1"/>
        <v>0.18967921896792189</v>
      </c>
      <c r="M20" s="1">
        <f t="shared" si="2"/>
        <v>0.27684797768479774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246</v>
      </c>
      <c r="E21">
        <v>1029</v>
      </c>
      <c r="F21">
        <v>160</v>
      </c>
      <c r="H21" t="str">
        <f t="shared" si="3"/>
        <v>04/06-2</v>
      </c>
      <c r="I21" s="1">
        <v>0.83294117647058818</v>
      </c>
      <c r="J21" s="1">
        <v>0.81978947368421051</v>
      </c>
      <c r="K21" s="1">
        <f t="shared" si="0"/>
        <v>0.6617852161785216</v>
      </c>
      <c r="L21" s="1">
        <f t="shared" si="1"/>
        <v>0.11854951185495119</v>
      </c>
      <c r="M21" s="1">
        <f t="shared" si="2"/>
        <v>0.21966527196652719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328</v>
      </c>
      <c r="E22">
        <v>906</v>
      </c>
      <c r="F22">
        <v>202</v>
      </c>
      <c r="H22" t="str">
        <f t="shared" si="3"/>
        <v>05/06-1</v>
      </c>
      <c r="I22" s="1">
        <v>0.83294117647058818</v>
      </c>
      <c r="J22" s="1">
        <v>0.81978947368421051</v>
      </c>
      <c r="K22" s="1">
        <f t="shared" si="0"/>
        <v>0.58536585365853655</v>
      </c>
      <c r="L22" s="1">
        <f t="shared" si="1"/>
        <v>0.13658536585365855</v>
      </c>
      <c r="M22" s="1">
        <f t="shared" si="2"/>
        <v>0.2780487804878049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A23">
        <v>22</v>
      </c>
      <c r="B23" t="s">
        <v>68</v>
      </c>
      <c r="C23" t="s">
        <v>37</v>
      </c>
      <c r="D23">
        <v>154</v>
      </c>
      <c r="E23">
        <v>1283</v>
      </c>
      <c r="F23">
        <v>0</v>
      </c>
      <c r="H23" t="str">
        <f t="shared" si="3"/>
        <v>05/06-2</v>
      </c>
      <c r="I23" s="1">
        <v>0.83294117647058818</v>
      </c>
      <c r="J23" s="1">
        <v>0.81978947368421051</v>
      </c>
      <c r="K23" s="1">
        <f t="shared" si="0"/>
        <v>0.65899581589958156</v>
      </c>
      <c r="L23" s="1">
        <f t="shared" si="1"/>
        <v>0.2308228730822873</v>
      </c>
      <c r="M23" s="1">
        <f t="shared" si="2"/>
        <v>0.1101813110181311</v>
      </c>
      <c r="O23">
        <v>22</v>
      </c>
      <c r="P23" t="s">
        <v>69</v>
      </c>
      <c r="Q23" t="s">
        <v>34</v>
      </c>
      <c r="R23">
        <v>168</v>
      </c>
      <c r="S23">
        <v>853</v>
      </c>
      <c r="T23">
        <v>414</v>
      </c>
    </row>
    <row r="24" spans="1:20" x14ac:dyDescent="0.3">
      <c r="A24">
        <v>23</v>
      </c>
      <c r="B24" t="s">
        <v>70</v>
      </c>
      <c r="C24" t="s">
        <v>34</v>
      </c>
      <c r="D24">
        <v>535</v>
      </c>
      <c r="E24">
        <v>901</v>
      </c>
      <c r="F24">
        <v>0</v>
      </c>
      <c r="H24" t="str">
        <f t="shared" si="3"/>
        <v>06/06-1</v>
      </c>
      <c r="I24" s="1">
        <v>0.83294117647058818</v>
      </c>
      <c r="J24" s="1">
        <v>0.81978947368421051</v>
      </c>
      <c r="K24" s="1">
        <f t="shared" si="0"/>
        <v>0.49791086350974928</v>
      </c>
      <c r="L24" s="1">
        <f t="shared" si="1"/>
        <v>0.3426183844011142</v>
      </c>
      <c r="M24" s="1">
        <f t="shared" si="2"/>
        <v>0.1594707520891365</v>
      </c>
      <c r="O24">
        <v>23</v>
      </c>
      <c r="P24" t="s">
        <v>69</v>
      </c>
      <c r="Q24" t="s">
        <v>37</v>
      </c>
      <c r="R24">
        <v>202</v>
      </c>
      <c r="S24">
        <v>927</v>
      </c>
      <c r="T24">
        <v>303</v>
      </c>
    </row>
    <row r="25" spans="1:20" x14ac:dyDescent="0.3">
      <c r="A25">
        <v>24</v>
      </c>
      <c r="B25" t="s">
        <v>70</v>
      </c>
      <c r="C25" t="s">
        <v>37</v>
      </c>
      <c r="D25">
        <v>247</v>
      </c>
      <c r="E25">
        <v>967</v>
      </c>
      <c r="F25">
        <v>220</v>
      </c>
      <c r="H25" t="str">
        <f t="shared" si="3"/>
        <v>06/06-2</v>
      </c>
      <c r="I25" s="1">
        <v>0.83294117647058818</v>
      </c>
      <c r="J25" s="1">
        <v>0.81978947368421051</v>
      </c>
      <c r="K25" s="1">
        <f t="shared" si="0"/>
        <v>0.54627696590118302</v>
      </c>
      <c r="L25" s="1">
        <f t="shared" si="1"/>
        <v>0.10855949895615867</v>
      </c>
      <c r="M25" s="1">
        <f t="shared" si="2"/>
        <v>0.3451635351426583</v>
      </c>
      <c r="O25">
        <v>24</v>
      </c>
      <c r="P25" t="s">
        <v>71</v>
      </c>
      <c r="Q25" t="s">
        <v>34</v>
      </c>
      <c r="R25">
        <v>416</v>
      </c>
      <c r="S25">
        <v>605</v>
      </c>
      <c r="T25">
        <v>413</v>
      </c>
    </row>
    <row r="26" spans="1:20" x14ac:dyDescent="0.3">
      <c r="A26">
        <v>25</v>
      </c>
      <c r="B26" t="s">
        <v>72</v>
      </c>
      <c r="C26" t="s">
        <v>34</v>
      </c>
      <c r="D26">
        <v>369</v>
      </c>
      <c r="E26">
        <v>834</v>
      </c>
      <c r="F26">
        <v>233</v>
      </c>
      <c r="H26" t="str">
        <f t="shared" si="3"/>
        <v>07/06-1</v>
      </c>
      <c r="I26" s="1">
        <v>0.83294117647058818</v>
      </c>
      <c r="J26" s="1">
        <v>0.81978947368421051</v>
      </c>
      <c r="K26" s="1">
        <f t="shared" si="0"/>
        <v>0.54881450488145045</v>
      </c>
      <c r="L26" s="1">
        <f t="shared" si="1"/>
        <v>0.11994421199442119</v>
      </c>
      <c r="M26" s="1">
        <f t="shared" si="2"/>
        <v>0.33124128312412832</v>
      </c>
      <c r="O26">
        <v>25</v>
      </c>
      <c r="P26" t="s">
        <v>71</v>
      </c>
      <c r="Q26" t="s">
        <v>37</v>
      </c>
      <c r="R26">
        <v>187</v>
      </c>
      <c r="S26">
        <v>943</v>
      </c>
      <c r="T26">
        <v>306</v>
      </c>
    </row>
    <row r="27" spans="1:20" x14ac:dyDescent="0.3">
      <c r="H27" t="str">
        <f t="shared" si="3"/>
        <v>07/06-2</v>
      </c>
      <c r="I27" s="1">
        <v>0.83294117647058818</v>
      </c>
      <c r="J27" s="1">
        <v>0.81978947368421051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344</v>
      </c>
      <c r="S27">
        <v>678</v>
      </c>
      <c r="T27">
        <v>413</v>
      </c>
    </row>
    <row r="28" spans="1:20" x14ac:dyDescent="0.3">
      <c r="H28" t="str">
        <f t="shared" si="3"/>
        <v>08/06-1</v>
      </c>
      <c r="I28" s="1">
        <v>0.83294117647058818</v>
      </c>
      <c r="J28" s="1">
        <v>0.81978947368421051</v>
      </c>
      <c r="K28" s="1">
        <f t="shared" si="0"/>
        <v>0.60724233983286913</v>
      </c>
      <c r="L28" s="1">
        <f t="shared" si="1"/>
        <v>0.11211699164345404</v>
      </c>
      <c r="M28" s="1">
        <f t="shared" si="2"/>
        <v>0.28064066852367686</v>
      </c>
      <c r="O28">
        <v>27</v>
      </c>
      <c r="P28" t="s">
        <v>73</v>
      </c>
      <c r="Q28" t="s">
        <v>37</v>
      </c>
      <c r="R28">
        <v>249</v>
      </c>
      <c r="S28">
        <v>884</v>
      </c>
      <c r="T28">
        <v>301</v>
      </c>
    </row>
    <row r="29" spans="1:20" x14ac:dyDescent="0.3">
      <c r="H29" t="str">
        <f t="shared" si="3"/>
        <v>08/06-2</v>
      </c>
      <c r="I29" s="1">
        <v>0.83294117647058818</v>
      </c>
      <c r="J29" s="1">
        <v>0.81978947368421051</v>
      </c>
      <c r="K29" s="1">
        <f t="shared" si="0"/>
        <v>0.69680111265646727</v>
      </c>
      <c r="L29" s="1">
        <f t="shared" si="1"/>
        <v>0.19193324061196107</v>
      </c>
      <c r="M29" s="1">
        <f t="shared" si="2"/>
        <v>0.11126564673157163</v>
      </c>
      <c r="O29">
        <v>28</v>
      </c>
      <c r="P29" t="s">
        <v>74</v>
      </c>
      <c r="Q29" t="s">
        <v>34</v>
      </c>
      <c r="R29">
        <v>408</v>
      </c>
      <c r="S29">
        <v>615</v>
      </c>
      <c r="T29">
        <v>412</v>
      </c>
    </row>
    <row r="30" spans="1:20" x14ac:dyDescent="0.3">
      <c r="H30" t="str">
        <f t="shared" si="3"/>
        <v>09/06-1</v>
      </c>
      <c r="I30" s="1">
        <v>0.83294117647058818</v>
      </c>
      <c r="J30" s="1">
        <v>0.81978947368421051</v>
      </c>
      <c r="K30" s="1">
        <f t="shared" si="0"/>
        <v>0.53899721448467963</v>
      </c>
      <c r="L30" s="1">
        <f t="shared" si="1"/>
        <v>0.31963788300835655</v>
      </c>
      <c r="M30" s="1">
        <f t="shared" si="2"/>
        <v>0.14136490250696379</v>
      </c>
      <c r="O30">
        <v>29</v>
      </c>
      <c r="P30" t="s">
        <v>74</v>
      </c>
      <c r="Q30" t="s">
        <v>37</v>
      </c>
      <c r="R30">
        <v>227</v>
      </c>
      <c r="S30">
        <v>905</v>
      </c>
      <c r="T30">
        <v>300</v>
      </c>
    </row>
    <row r="31" spans="1:20" x14ac:dyDescent="0.3">
      <c r="H31" t="str">
        <f t="shared" si="3"/>
        <v>09/06-2</v>
      </c>
      <c r="I31" s="1">
        <v>0.83294117647058818</v>
      </c>
      <c r="J31" s="1">
        <v>0.81978947368421051</v>
      </c>
      <c r="K31" s="1">
        <f t="shared" si="0"/>
        <v>0.7299930410577592</v>
      </c>
      <c r="L31" s="1">
        <f t="shared" si="1"/>
        <v>0.15935977731384829</v>
      </c>
      <c r="M31" s="1">
        <f t="shared" si="2"/>
        <v>0.11064718162839249</v>
      </c>
      <c r="O31">
        <v>30</v>
      </c>
      <c r="P31" t="s">
        <v>75</v>
      </c>
      <c r="Q31" t="s">
        <v>34</v>
      </c>
      <c r="R31">
        <v>335</v>
      </c>
      <c r="S31">
        <v>684</v>
      </c>
      <c r="T31">
        <v>416</v>
      </c>
    </row>
    <row r="32" spans="1:20" x14ac:dyDescent="0.3">
      <c r="H32" t="str">
        <f t="shared" si="3"/>
        <v>10/06-1</v>
      </c>
      <c r="I32" s="1">
        <v>0.83294117647058818</v>
      </c>
      <c r="J32" s="1">
        <v>0.81978947368421051</v>
      </c>
      <c r="K32" s="1">
        <f t="shared" si="0"/>
        <v>0.60194850382741827</v>
      </c>
      <c r="L32" s="1">
        <f t="shared" si="1"/>
        <v>0.25748086290883787</v>
      </c>
      <c r="M32" s="1">
        <f t="shared" si="2"/>
        <v>0.14057063326374392</v>
      </c>
      <c r="O32">
        <v>31</v>
      </c>
      <c r="P32" t="s">
        <v>75</v>
      </c>
      <c r="Q32" t="s">
        <v>37</v>
      </c>
      <c r="R32">
        <v>218</v>
      </c>
      <c r="S32">
        <v>796</v>
      </c>
      <c r="T32">
        <v>422</v>
      </c>
    </row>
    <row r="33" spans="8:20" x14ac:dyDescent="0.3">
      <c r="H33" t="str">
        <f t="shared" si="3"/>
        <v>10/06-2</v>
      </c>
      <c r="I33" s="1">
        <v>0.83294117647058818</v>
      </c>
      <c r="J33" s="1">
        <v>0.81978947368421051</v>
      </c>
      <c r="K33" s="1">
        <f t="shared" si="0"/>
        <v>0.71707317073170729</v>
      </c>
      <c r="L33" s="1">
        <f t="shared" si="1"/>
        <v>0.17142857142857143</v>
      </c>
      <c r="M33" s="1">
        <f t="shared" si="2"/>
        <v>0.11149825783972125</v>
      </c>
      <c r="O33">
        <v>32</v>
      </c>
      <c r="P33" t="s">
        <v>76</v>
      </c>
      <c r="Q33" t="s">
        <v>34</v>
      </c>
      <c r="R33">
        <v>306</v>
      </c>
      <c r="S33">
        <v>715</v>
      </c>
      <c r="T33">
        <v>413</v>
      </c>
    </row>
    <row r="34" spans="8:20" x14ac:dyDescent="0.3">
      <c r="H34" t="str">
        <f t="shared" si="3"/>
        <v>11/06-1</v>
      </c>
      <c r="I34" s="1">
        <v>0.83294117647058818</v>
      </c>
      <c r="J34" s="1">
        <v>0.81978947368421051</v>
      </c>
      <c r="K34" s="1">
        <f t="shared" si="0"/>
        <v>0.63091922005571033</v>
      </c>
      <c r="L34" s="1">
        <f t="shared" si="1"/>
        <v>0.22841225626740946</v>
      </c>
      <c r="M34" s="1">
        <f t="shared" si="2"/>
        <v>0.14066852367688024</v>
      </c>
      <c r="O34">
        <v>33</v>
      </c>
      <c r="P34" t="s">
        <v>76</v>
      </c>
      <c r="Q34" t="s">
        <v>37</v>
      </c>
      <c r="R34">
        <v>73</v>
      </c>
      <c r="S34">
        <v>882</v>
      </c>
      <c r="T34">
        <v>483</v>
      </c>
    </row>
    <row r="35" spans="8:20" x14ac:dyDescent="0.3">
      <c r="H35" t="str">
        <f t="shared" si="3"/>
        <v>11/06-2</v>
      </c>
      <c r="I35" s="1">
        <v>0.83294117647058818</v>
      </c>
      <c r="J35" s="1">
        <v>0.81978947368421051</v>
      </c>
      <c r="K35" s="1">
        <f t="shared" si="0"/>
        <v>0.89283228949199722</v>
      </c>
      <c r="L35" s="1">
        <f t="shared" si="1"/>
        <v>0.10716771050800278</v>
      </c>
      <c r="M35" s="1">
        <f t="shared" si="2"/>
        <v>0</v>
      </c>
      <c r="O35">
        <v>34</v>
      </c>
      <c r="P35" t="s">
        <v>77</v>
      </c>
      <c r="Q35" t="s">
        <v>34</v>
      </c>
      <c r="R35">
        <v>258</v>
      </c>
      <c r="S35">
        <v>537</v>
      </c>
      <c r="T35">
        <v>641</v>
      </c>
    </row>
    <row r="36" spans="8:20" x14ac:dyDescent="0.3">
      <c r="H36" t="str">
        <f t="shared" si="3"/>
        <v>12/06-1</v>
      </c>
      <c r="I36" s="1">
        <v>0.83294117647058818</v>
      </c>
      <c r="J36" s="1">
        <v>0.81978947368421051</v>
      </c>
      <c r="K36" s="1">
        <f t="shared" si="0"/>
        <v>0.62743732590529244</v>
      </c>
      <c r="L36" s="1">
        <f t="shared" si="1"/>
        <v>0.3725626740947075</v>
      </c>
      <c r="M36" s="1">
        <f t="shared" si="2"/>
        <v>0</v>
      </c>
      <c r="O36">
        <v>35</v>
      </c>
      <c r="P36" t="s">
        <v>77</v>
      </c>
      <c r="Q36" t="s">
        <v>37</v>
      </c>
      <c r="R36">
        <v>42</v>
      </c>
      <c r="S36">
        <v>126</v>
      </c>
      <c r="T36">
        <v>1270</v>
      </c>
    </row>
    <row r="37" spans="8:20" x14ac:dyDescent="0.3">
      <c r="H37" t="str">
        <f t="shared" si="3"/>
        <v>12/06-2</v>
      </c>
      <c r="I37" s="1">
        <v>0.83294117647058818</v>
      </c>
      <c r="J37" s="1">
        <v>0.81978947368421051</v>
      </c>
      <c r="K37" s="1">
        <f t="shared" si="0"/>
        <v>0.6743375174337517</v>
      </c>
      <c r="L37" s="1">
        <f t="shared" si="1"/>
        <v>0.17224546722454673</v>
      </c>
      <c r="M37" s="1">
        <f t="shared" si="2"/>
        <v>0.15341701534170155</v>
      </c>
      <c r="O37">
        <v>36</v>
      </c>
      <c r="P37" t="s">
        <v>78</v>
      </c>
      <c r="Q37" t="s">
        <v>34</v>
      </c>
      <c r="R37">
        <v>198</v>
      </c>
      <c r="S37">
        <v>821</v>
      </c>
      <c r="T37">
        <v>417</v>
      </c>
    </row>
    <row r="38" spans="8:20" x14ac:dyDescent="0.3">
      <c r="H38" t="str">
        <f t="shared" si="3"/>
        <v>13/06-1</v>
      </c>
      <c r="I38" s="1">
        <v>0.83294117647058818</v>
      </c>
      <c r="J38" s="1">
        <v>0.81978947368421051</v>
      </c>
      <c r="K38" s="1">
        <f t="shared" si="0"/>
        <v>0.58077994428969359</v>
      </c>
      <c r="L38" s="1">
        <f t="shared" si="1"/>
        <v>0.25696378830083566</v>
      </c>
      <c r="M38" s="1">
        <f t="shared" si="2"/>
        <v>0.16225626740947074</v>
      </c>
      <c r="O38">
        <v>37</v>
      </c>
      <c r="P38" t="s">
        <v>78</v>
      </c>
      <c r="Q38" t="s">
        <v>37</v>
      </c>
      <c r="R38">
        <v>322</v>
      </c>
      <c r="S38">
        <v>960</v>
      </c>
      <c r="T38">
        <v>154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301</v>
      </c>
      <c r="S39">
        <v>928</v>
      </c>
      <c r="T39">
        <v>208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304</v>
      </c>
      <c r="S40">
        <v>1134</v>
      </c>
      <c r="T40">
        <v>0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487</v>
      </c>
      <c r="S41">
        <v>951</v>
      </c>
      <c r="T41">
        <v>0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170</v>
      </c>
      <c r="S42">
        <v>1267</v>
      </c>
      <c r="T42">
        <v>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466</v>
      </c>
      <c r="S43">
        <v>972</v>
      </c>
      <c r="T43">
        <v>0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170</v>
      </c>
      <c r="S44">
        <v>1266</v>
      </c>
      <c r="T44">
        <v>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370</v>
      </c>
      <c r="S45">
        <v>1067</v>
      </c>
      <c r="T45">
        <v>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207</v>
      </c>
      <c r="S46">
        <v>1229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514</v>
      </c>
      <c r="S47">
        <v>924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124</v>
      </c>
      <c r="S48">
        <v>1068</v>
      </c>
      <c r="T48">
        <v>246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362</v>
      </c>
      <c r="S49">
        <v>835</v>
      </c>
      <c r="T49">
        <v>238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210</v>
      </c>
      <c r="S51">
        <v>812</v>
      </c>
      <c r="T51">
        <v>413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162</v>
      </c>
      <c r="S52">
        <v>1120</v>
      </c>
      <c r="T52">
        <v>151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331</v>
      </c>
      <c r="S53">
        <v>896</v>
      </c>
      <c r="T53">
        <v>208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191</v>
      </c>
      <c r="S54">
        <v>1091</v>
      </c>
      <c r="T54">
        <v>153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307</v>
      </c>
      <c r="S55">
        <v>921</v>
      </c>
      <c r="T55">
        <v>207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259</v>
      </c>
      <c r="S56">
        <v>1027</v>
      </c>
      <c r="T56">
        <v>151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388</v>
      </c>
      <c r="S57">
        <v>841</v>
      </c>
      <c r="T57">
        <v>208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147</v>
      </c>
      <c r="S58">
        <v>1137</v>
      </c>
      <c r="T58">
        <v>152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395</v>
      </c>
      <c r="S59">
        <v>834</v>
      </c>
      <c r="T59">
        <v>208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331</v>
      </c>
      <c r="S60">
        <v>954</v>
      </c>
      <c r="T60">
        <v>151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389</v>
      </c>
      <c r="S61">
        <v>814</v>
      </c>
      <c r="T61">
        <v>235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141</v>
      </c>
      <c r="S62">
        <v>814</v>
      </c>
      <c r="T62">
        <v>480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163</v>
      </c>
      <c r="S65">
        <v>862</v>
      </c>
      <c r="T65">
        <v>412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366</v>
      </c>
      <c r="S66">
        <v>917</v>
      </c>
      <c r="T66">
        <v>153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413</v>
      </c>
      <c r="S67">
        <v>816</v>
      </c>
      <c r="T67">
        <v>207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305</v>
      </c>
      <c r="S68">
        <v>974</v>
      </c>
      <c r="T68">
        <v>155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438</v>
      </c>
      <c r="S69">
        <v>791</v>
      </c>
      <c r="T69">
        <v>206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261</v>
      </c>
      <c r="S70">
        <v>1019</v>
      </c>
      <c r="T70">
        <v>155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257</v>
      </c>
      <c r="S71">
        <v>970</v>
      </c>
      <c r="T71">
        <v>209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250</v>
      </c>
      <c r="S72">
        <v>1032</v>
      </c>
      <c r="T72">
        <v>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230</v>
      </c>
      <c r="S73">
        <v>996</v>
      </c>
      <c r="T73">
        <v>212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358</v>
      </c>
      <c r="S74">
        <v>923</v>
      </c>
      <c r="T74">
        <v>154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508</v>
      </c>
      <c r="S75">
        <v>691</v>
      </c>
      <c r="T75">
        <v>238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461</v>
      </c>
      <c r="S76">
        <v>730</v>
      </c>
      <c r="T76">
        <v>244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362</v>
      </c>
      <c r="S77">
        <v>838</v>
      </c>
      <c r="T77">
        <v>237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185</v>
      </c>
      <c r="S79">
        <v>834</v>
      </c>
      <c r="T79">
        <v>416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225</v>
      </c>
      <c r="S80">
        <v>1058</v>
      </c>
      <c r="T80">
        <v>152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527</v>
      </c>
      <c r="S81">
        <v>590</v>
      </c>
      <c r="T81">
        <v>321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585</v>
      </c>
      <c r="S82">
        <v>696</v>
      </c>
      <c r="T82">
        <v>153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401</v>
      </c>
      <c r="S83">
        <v>821</v>
      </c>
      <c r="T83">
        <v>213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172</v>
      </c>
      <c r="S84">
        <v>1109</v>
      </c>
      <c r="T84">
        <v>153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453</v>
      </c>
      <c r="S85">
        <v>775</v>
      </c>
      <c r="T85">
        <v>208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407</v>
      </c>
      <c r="S86">
        <v>873</v>
      </c>
      <c r="T86">
        <v>152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450</v>
      </c>
      <c r="S87">
        <v>779</v>
      </c>
      <c r="T87">
        <v>205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368</v>
      </c>
      <c r="S88">
        <v>624</v>
      </c>
      <c r="T88">
        <v>442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1441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1441</v>
      </c>
    </row>
    <row r="107" spans="9:20" x14ac:dyDescent="0.3">
      <c r="O107">
        <v>106</v>
      </c>
      <c r="P107" t="s">
        <v>113</v>
      </c>
      <c r="Q107" t="s">
        <v>34</v>
      </c>
      <c r="R107">
        <v>420</v>
      </c>
      <c r="S107">
        <v>594</v>
      </c>
      <c r="T107">
        <v>422</v>
      </c>
    </row>
    <row r="108" spans="9:20" x14ac:dyDescent="0.3">
      <c r="O108">
        <v>107</v>
      </c>
      <c r="P108" t="s">
        <v>113</v>
      </c>
      <c r="Q108" t="s">
        <v>37</v>
      </c>
      <c r="R108">
        <v>170</v>
      </c>
      <c r="S108">
        <v>1108</v>
      </c>
      <c r="T108">
        <v>154</v>
      </c>
    </row>
    <row r="109" spans="9:20" x14ac:dyDescent="0.3">
      <c r="O109">
        <v>108</v>
      </c>
      <c r="P109" t="s">
        <v>114</v>
      </c>
      <c r="Q109" t="s">
        <v>34</v>
      </c>
      <c r="R109">
        <v>439</v>
      </c>
      <c r="S109">
        <v>787</v>
      </c>
      <c r="T109">
        <v>208</v>
      </c>
    </row>
    <row r="110" spans="9:20" x14ac:dyDescent="0.3">
      <c r="O110">
        <v>109</v>
      </c>
      <c r="P110" t="s">
        <v>114</v>
      </c>
      <c r="Q110" t="s">
        <v>37</v>
      </c>
      <c r="R110">
        <v>183</v>
      </c>
      <c r="S110">
        <v>1250</v>
      </c>
      <c r="T110">
        <v>0</v>
      </c>
    </row>
    <row r="111" spans="9:20" x14ac:dyDescent="0.3">
      <c r="O111">
        <v>110</v>
      </c>
      <c r="P111" t="s">
        <v>115</v>
      </c>
      <c r="Q111" t="s">
        <v>34</v>
      </c>
      <c r="R111">
        <v>342</v>
      </c>
      <c r="S111">
        <v>1092</v>
      </c>
      <c r="T111">
        <v>0</v>
      </c>
    </row>
    <row r="112" spans="9:20" x14ac:dyDescent="0.3">
      <c r="O112">
        <v>111</v>
      </c>
      <c r="P112" t="s">
        <v>115</v>
      </c>
      <c r="Q112" t="s">
        <v>37</v>
      </c>
      <c r="R112">
        <v>259</v>
      </c>
      <c r="S112">
        <v>1022</v>
      </c>
      <c r="T112">
        <v>153</v>
      </c>
    </row>
    <row r="113" spans="15:20" x14ac:dyDescent="0.3">
      <c r="O113">
        <v>112</v>
      </c>
      <c r="P113" t="s">
        <v>116</v>
      </c>
      <c r="Q113" t="s">
        <v>34</v>
      </c>
      <c r="R113">
        <v>373</v>
      </c>
      <c r="S113">
        <v>852</v>
      </c>
      <c r="T113">
        <v>208</v>
      </c>
    </row>
    <row r="114" spans="15:20" x14ac:dyDescent="0.3">
      <c r="O114">
        <v>113</v>
      </c>
      <c r="P114" t="s">
        <v>116</v>
      </c>
      <c r="Q114" t="s">
        <v>37</v>
      </c>
      <c r="R114">
        <v>227</v>
      </c>
      <c r="S114">
        <v>1207</v>
      </c>
      <c r="T114">
        <v>0</v>
      </c>
    </row>
    <row r="115" spans="15:20" x14ac:dyDescent="0.3">
      <c r="O115">
        <v>114</v>
      </c>
      <c r="P115" t="s">
        <v>117</v>
      </c>
      <c r="Q115" t="s">
        <v>34</v>
      </c>
      <c r="R115">
        <v>454</v>
      </c>
      <c r="S115">
        <v>978</v>
      </c>
      <c r="T115">
        <v>0</v>
      </c>
    </row>
    <row r="116" spans="15:20" x14ac:dyDescent="0.3">
      <c r="O116">
        <v>115</v>
      </c>
      <c r="P116" t="s">
        <v>117</v>
      </c>
      <c r="Q116" t="s">
        <v>37</v>
      </c>
      <c r="R116">
        <v>366</v>
      </c>
      <c r="S116">
        <v>856</v>
      </c>
      <c r="T116">
        <v>212</v>
      </c>
    </row>
    <row r="117" spans="15:20" x14ac:dyDescent="0.3">
      <c r="O117">
        <v>116</v>
      </c>
      <c r="P117" t="s">
        <v>118</v>
      </c>
      <c r="Q117" t="s">
        <v>34</v>
      </c>
      <c r="R117">
        <v>504</v>
      </c>
      <c r="S117">
        <v>696</v>
      </c>
      <c r="T117">
        <v>235</v>
      </c>
    </row>
    <row r="118" spans="15:20" x14ac:dyDescent="0.3">
      <c r="O118">
        <v>117</v>
      </c>
      <c r="P118" t="s">
        <v>118</v>
      </c>
      <c r="Q118" t="s">
        <v>37</v>
      </c>
      <c r="R118">
        <v>221</v>
      </c>
      <c r="S118">
        <v>729</v>
      </c>
      <c r="T118">
        <v>484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1154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120</v>
      </c>
      <c r="Q121" t="s">
        <v>34</v>
      </c>
      <c r="R121">
        <v>247</v>
      </c>
      <c r="S121">
        <v>783</v>
      </c>
      <c r="T121">
        <v>404</v>
      </c>
    </row>
    <row r="122" spans="15:20" x14ac:dyDescent="0.3">
      <c r="O122">
        <v>121</v>
      </c>
      <c r="P122" t="s">
        <v>120</v>
      </c>
      <c r="Q122" t="s">
        <v>37</v>
      </c>
      <c r="R122">
        <v>297</v>
      </c>
      <c r="S122">
        <v>981</v>
      </c>
      <c r="T122">
        <v>158</v>
      </c>
    </row>
    <row r="123" spans="15:20" x14ac:dyDescent="0.3">
      <c r="O123">
        <v>122</v>
      </c>
      <c r="P123" t="s">
        <v>121</v>
      </c>
      <c r="Q123" t="s">
        <v>34</v>
      </c>
      <c r="R123">
        <v>389</v>
      </c>
      <c r="S123">
        <v>842</v>
      </c>
      <c r="T123">
        <v>206</v>
      </c>
    </row>
    <row r="124" spans="15:20" x14ac:dyDescent="0.3">
      <c r="O124">
        <v>123</v>
      </c>
      <c r="P124" t="s">
        <v>121</v>
      </c>
      <c r="Q124" t="s">
        <v>37</v>
      </c>
      <c r="R124">
        <v>308</v>
      </c>
      <c r="S124">
        <v>970</v>
      </c>
      <c r="T124">
        <v>156</v>
      </c>
    </row>
    <row r="125" spans="15:20" x14ac:dyDescent="0.3">
      <c r="O125">
        <v>124</v>
      </c>
      <c r="P125" t="s">
        <v>122</v>
      </c>
      <c r="Q125" t="s">
        <v>34</v>
      </c>
      <c r="R125">
        <v>340</v>
      </c>
      <c r="S125">
        <v>889</v>
      </c>
      <c r="T125">
        <v>206</v>
      </c>
    </row>
    <row r="126" spans="15:20" x14ac:dyDescent="0.3">
      <c r="O126">
        <v>125</v>
      </c>
      <c r="P126" t="s">
        <v>122</v>
      </c>
      <c r="Q126" t="s">
        <v>37</v>
      </c>
      <c r="R126">
        <v>246</v>
      </c>
      <c r="S126">
        <v>1034</v>
      </c>
      <c r="T126">
        <v>156</v>
      </c>
    </row>
    <row r="127" spans="15:20" x14ac:dyDescent="0.3">
      <c r="O127">
        <v>126</v>
      </c>
      <c r="P127" t="s">
        <v>123</v>
      </c>
      <c r="Q127" t="s">
        <v>34</v>
      </c>
      <c r="R127">
        <v>404</v>
      </c>
      <c r="S127">
        <v>826</v>
      </c>
      <c r="T127">
        <v>205</v>
      </c>
    </row>
    <row r="128" spans="15:20" x14ac:dyDescent="0.3">
      <c r="O128">
        <v>127</v>
      </c>
      <c r="P128" t="s">
        <v>123</v>
      </c>
      <c r="Q128" t="s">
        <v>37</v>
      </c>
      <c r="R128">
        <v>221</v>
      </c>
      <c r="S128">
        <v>1058</v>
      </c>
      <c r="T128">
        <v>156</v>
      </c>
    </row>
    <row r="129" spans="15:20" x14ac:dyDescent="0.3">
      <c r="O129">
        <v>128</v>
      </c>
      <c r="P129" t="s">
        <v>124</v>
      </c>
      <c r="Q129" t="s">
        <v>34</v>
      </c>
      <c r="R129">
        <v>386</v>
      </c>
      <c r="S129">
        <v>842</v>
      </c>
      <c r="T129">
        <v>206</v>
      </c>
    </row>
    <row r="130" spans="15:20" x14ac:dyDescent="0.3">
      <c r="O130">
        <v>129</v>
      </c>
      <c r="P130" t="s">
        <v>124</v>
      </c>
      <c r="Q130" t="s">
        <v>37</v>
      </c>
      <c r="R130">
        <v>353</v>
      </c>
      <c r="S130">
        <v>926</v>
      </c>
      <c r="T130">
        <v>157</v>
      </c>
    </row>
    <row r="131" spans="15:20" x14ac:dyDescent="0.3">
      <c r="O131">
        <v>130</v>
      </c>
      <c r="P131" t="s">
        <v>125</v>
      </c>
      <c r="Q131" t="s">
        <v>34</v>
      </c>
      <c r="R131">
        <v>135</v>
      </c>
      <c r="S131">
        <v>1066</v>
      </c>
      <c r="T131">
        <v>236</v>
      </c>
    </row>
    <row r="132" spans="15:20" x14ac:dyDescent="0.3">
      <c r="O132">
        <v>131</v>
      </c>
      <c r="P132" t="s">
        <v>125</v>
      </c>
      <c r="Q132" t="s">
        <v>37</v>
      </c>
      <c r="R132">
        <v>388</v>
      </c>
      <c r="S132">
        <v>805</v>
      </c>
      <c r="T132">
        <v>242</v>
      </c>
    </row>
    <row r="133" spans="15:20" x14ac:dyDescent="0.3">
      <c r="O133">
        <v>132</v>
      </c>
      <c r="P133" t="s">
        <v>126</v>
      </c>
      <c r="Q133" t="s">
        <v>34</v>
      </c>
      <c r="R133">
        <v>391</v>
      </c>
      <c r="S133">
        <v>806</v>
      </c>
      <c r="T133">
        <v>240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127</v>
      </c>
      <c r="Q135" t="s">
        <v>34</v>
      </c>
      <c r="R135">
        <v>270</v>
      </c>
      <c r="S135">
        <v>756</v>
      </c>
      <c r="T135">
        <v>411</v>
      </c>
    </row>
    <row r="136" spans="15:20" x14ac:dyDescent="0.3">
      <c r="O136">
        <v>135</v>
      </c>
      <c r="P136" t="s">
        <v>127</v>
      </c>
      <c r="Q136" t="s">
        <v>37</v>
      </c>
      <c r="R136">
        <v>214</v>
      </c>
      <c r="S136">
        <v>1069</v>
      </c>
      <c r="T136">
        <v>153</v>
      </c>
    </row>
    <row r="137" spans="15:20" x14ac:dyDescent="0.3">
      <c r="O137">
        <v>136</v>
      </c>
      <c r="P137" t="s">
        <v>128</v>
      </c>
      <c r="Q137" t="s">
        <v>34</v>
      </c>
      <c r="R137">
        <v>423</v>
      </c>
      <c r="S137">
        <v>809</v>
      </c>
      <c r="T137">
        <v>204</v>
      </c>
    </row>
    <row r="138" spans="15:20" x14ac:dyDescent="0.3">
      <c r="O138">
        <v>137</v>
      </c>
      <c r="P138" t="s">
        <v>128</v>
      </c>
      <c r="Q138" t="s">
        <v>37</v>
      </c>
      <c r="R138">
        <v>190</v>
      </c>
      <c r="S138">
        <v>1092</v>
      </c>
      <c r="T138">
        <v>154</v>
      </c>
    </row>
    <row r="139" spans="15:20" x14ac:dyDescent="0.3">
      <c r="O139">
        <v>138</v>
      </c>
      <c r="P139" t="s">
        <v>129</v>
      </c>
      <c r="Q139" t="s">
        <v>34</v>
      </c>
      <c r="R139">
        <v>309</v>
      </c>
      <c r="S139">
        <v>922</v>
      </c>
      <c r="T139">
        <v>206</v>
      </c>
    </row>
    <row r="140" spans="15:20" x14ac:dyDescent="0.3">
      <c r="O140">
        <v>139</v>
      </c>
      <c r="P140" t="s">
        <v>129</v>
      </c>
      <c r="Q140" t="s">
        <v>37</v>
      </c>
      <c r="R140">
        <v>233</v>
      </c>
      <c r="S140">
        <v>1048</v>
      </c>
      <c r="T140">
        <v>154</v>
      </c>
    </row>
    <row r="141" spans="15:20" x14ac:dyDescent="0.3">
      <c r="O141">
        <v>140</v>
      </c>
      <c r="P141" t="s">
        <v>130</v>
      </c>
      <c r="Q141" t="s">
        <v>34</v>
      </c>
      <c r="R141">
        <v>483</v>
      </c>
      <c r="S141">
        <v>748</v>
      </c>
      <c r="T141">
        <v>205</v>
      </c>
    </row>
    <row r="142" spans="15:20" x14ac:dyDescent="0.3">
      <c r="O142">
        <v>141</v>
      </c>
      <c r="P142" t="s">
        <v>130</v>
      </c>
      <c r="Q142" t="s">
        <v>37</v>
      </c>
      <c r="R142">
        <v>331</v>
      </c>
      <c r="S142">
        <v>950</v>
      </c>
      <c r="T142">
        <v>155</v>
      </c>
    </row>
    <row r="143" spans="15:20" x14ac:dyDescent="0.3">
      <c r="O143">
        <v>142</v>
      </c>
      <c r="P143" t="s">
        <v>131</v>
      </c>
      <c r="Q143" t="s">
        <v>34</v>
      </c>
      <c r="R143">
        <v>451</v>
      </c>
      <c r="S143">
        <v>781</v>
      </c>
      <c r="T143">
        <v>204</v>
      </c>
    </row>
    <row r="144" spans="15:20" x14ac:dyDescent="0.3">
      <c r="O144">
        <v>143</v>
      </c>
      <c r="P144" t="s">
        <v>131</v>
      </c>
      <c r="Q144" t="s">
        <v>37</v>
      </c>
      <c r="R144">
        <v>219</v>
      </c>
      <c r="S144">
        <v>1061</v>
      </c>
      <c r="T144">
        <v>155</v>
      </c>
    </row>
    <row r="145" spans="15:20" x14ac:dyDescent="0.3">
      <c r="O145">
        <v>144</v>
      </c>
      <c r="P145" t="s">
        <v>132</v>
      </c>
      <c r="Q145" t="s">
        <v>34</v>
      </c>
      <c r="R145">
        <v>385</v>
      </c>
      <c r="S145">
        <v>816</v>
      </c>
      <c r="T145">
        <v>235</v>
      </c>
    </row>
    <row r="146" spans="15:20" x14ac:dyDescent="0.3">
      <c r="O146">
        <v>145</v>
      </c>
      <c r="P146" t="s">
        <v>132</v>
      </c>
      <c r="Q146" t="s">
        <v>37</v>
      </c>
      <c r="R146">
        <v>223</v>
      </c>
      <c r="S146">
        <v>727</v>
      </c>
      <c r="T146">
        <v>487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134</v>
      </c>
      <c r="Q149" t="s">
        <v>34</v>
      </c>
      <c r="R149">
        <v>277</v>
      </c>
      <c r="S149">
        <v>745</v>
      </c>
      <c r="T149">
        <v>411</v>
      </c>
    </row>
    <row r="150" spans="15:20" x14ac:dyDescent="0.3">
      <c r="O150">
        <v>149</v>
      </c>
      <c r="P150" t="s">
        <v>134</v>
      </c>
      <c r="Q150" t="s">
        <v>37</v>
      </c>
      <c r="R150">
        <v>343</v>
      </c>
      <c r="S150">
        <v>935</v>
      </c>
      <c r="T150">
        <v>156</v>
      </c>
    </row>
    <row r="151" spans="15:20" x14ac:dyDescent="0.3">
      <c r="O151">
        <v>150</v>
      </c>
      <c r="P151" t="s">
        <v>135</v>
      </c>
      <c r="Q151" t="s">
        <v>34</v>
      </c>
      <c r="R151">
        <v>516</v>
      </c>
      <c r="S151">
        <v>714</v>
      </c>
      <c r="T151">
        <v>205</v>
      </c>
    </row>
    <row r="152" spans="15:20" x14ac:dyDescent="0.3">
      <c r="O152">
        <v>151</v>
      </c>
      <c r="P152" t="s">
        <v>135</v>
      </c>
      <c r="Q152" t="s">
        <v>37</v>
      </c>
      <c r="R152">
        <v>362</v>
      </c>
      <c r="S152">
        <v>915</v>
      </c>
      <c r="T152">
        <v>158</v>
      </c>
    </row>
    <row r="153" spans="15:20" x14ac:dyDescent="0.3">
      <c r="O153">
        <v>152</v>
      </c>
      <c r="P153" t="s">
        <v>136</v>
      </c>
      <c r="Q153" t="s">
        <v>34</v>
      </c>
      <c r="R153">
        <v>460</v>
      </c>
      <c r="S153">
        <v>765</v>
      </c>
      <c r="T153">
        <v>210</v>
      </c>
    </row>
    <row r="154" spans="15:20" x14ac:dyDescent="0.3">
      <c r="O154">
        <v>153</v>
      </c>
      <c r="P154" t="s">
        <v>136</v>
      </c>
      <c r="Q154" t="s">
        <v>37</v>
      </c>
      <c r="R154">
        <v>446</v>
      </c>
      <c r="S154">
        <v>835</v>
      </c>
      <c r="T154">
        <v>154</v>
      </c>
    </row>
    <row r="155" spans="15:20" x14ac:dyDescent="0.3">
      <c r="O155">
        <v>154</v>
      </c>
      <c r="P155" t="s">
        <v>137</v>
      </c>
      <c r="Q155" t="s">
        <v>34</v>
      </c>
      <c r="R155">
        <v>424</v>
      </c>
      <c r="S155">
        <v>806</v>
      </c>
      <c r="T155">
        <v>207</v>
      </c>
    </row>
    <row r="156" spans="15:20" x14ac:dyDescent="0.3">
      <c r="O156">
        <v>155</v>
      </c>
      <c r="P156" t="s">
        <v>137</v>
      </c>
      <c r="Q156" t="s">
        <v>37</v>
      </c>
      <c r="R156">
        <v>360</v>
      </c>
      <c r="S156">
        <v>921</v>
      </c>
      <c r="T156">
        <v>155</v>
      </c>
    </row>
    <row r="157" spans="15:20" x14ac:dyDescent="0.3">
      <c r="O157">
        <v>156</v>
      </c>
      <c r="P157" t="s">
        <v>138</v>
      </c>
      <c r="Q157" t="s">
        <v>34</v>
      </c>
      <c r="R157">
        <v>366</v>
      </c>
      <c r="S157">
        <v>866</v>
      </c>
      <c r="T157">
        <v>205</v>
      </c>
    </row>
    <row r="158" spans="15:20" x14ac:dyDescent="0.3">
      <c r="O158">
        <v>157</v>
      </c>
      <c r="P158" t="s">
        <v>138</v>
      </c>
      <c r="Q158" t="s">
        <v>37</v>
      </c>
      <c r="R158">
        <v>251</v>
      </c>
      <c r="S158">
        <v>1027</v>
      </c>
      <c r="T158">
        <v>157</v>
      </c>
    </row>
    <row r="159" spans="15:20" x14ac:dyDescent="0.3">
      <c r="O159">
        <v>158</v>
      </c>
      <c r="P159" t="s">
        <v>139</v>
      </c>
      <c r="Q159" t="s">
        <v>34</v>
      </c>
      <c r="R159">
        <v>243</v>
      </c>
      <c r="S159">
        <v>959</v>
      </c>
      <c r="T159">
        <v>235</v>
      </c>
    </row>
    <row r="160" spans="15:20" x14ac:dyDescent="0.3">
      <c r="O160">
        <v>159</v>
      </c>
      <c r="P160" t="s">
        <v>139</v>
      </c>
      <c r="Q160" t="s">
        <v>37</v>
      </c>
      <c r="R160">
        <v>182</v>
      </c>
      <c r="S160">
        <v>1006</v>
      </c>
      <c r="T160">
        <v>248</v>
      </c>
    </row>
    <row r="161" spans="15:20" x14ac:dyDescent="0.3">
      <c r="O161">
        <v>160</v>
      </c>
      <c r="P161" t="s">
        <v>140</v>
      </c>
      <c r="Q161" t="s">
        <v>37</v>
      </c>
      <c r="R161">
        <v>276</v>
      </c>
      <c r="S161">
        <v>85</v>
      </c>
      <c r="T161">
        <v>1465</v>
      </c>
    </row>
    <row r="162" spans="15:20" x14ac:dyDescent="0.3">
      <c r="O162">
        <v>161</v>
      </c>
      <c r="P162" t="s">
        <v>141</v>
      </c>
      <c r="Q162" t="s">
        <v>34</v>
      </c>
      <c r="R162">
        <v>215</v>
      </c>
      <c r="S162">
        <v>814</v>
      </c>
      <c r="T162">
        <v>408</v>
      </c>
    </row>
    <row r="163" spans="15:20" x14ac:dyDescent="0.3">
      <c r="O163">
        <v>162</v>
      </c>
      <c r="P163" t="s">
        <v>141</v>
      </c>
      <c r="Q163" t="s">
        <v>37</v>
      </c>
      <c r="R163">
        <v>258</v>
      </c>
      <c r="S163">
        <v>1024</v>
      </c>
      <c r="T163">
        <v>155</v>
      </c>
    </row>
    <row r="164" spans="15:20" x14ac:dyDescent="0.3">
      <c r="O164">
        <v>163</v>
      </c>
      <c r="P164" t="s">
        <v>142</v>
      </c>
      <c r="Q164" t="s">
        <v>34</v>
      </c>
      <c r="R164">
        <v>389</v>
      </c>
      <c r="S164">
        <v>844</v>
      </c>
      <c r="T164">
        <v>204</v>
      </c>
    </row>
    <row r="165" spans="15:20" x14ac:dyDescent="0.3">
      <c r="O165">
        <v>164</v>
      </c>
      <c r="P165" t="s">
        <v>142</v>
      </c>
      <c r="Q165" t="s">
        <v>37</v>
      </c>
      <c r="R165">
        <v>201</v>
      </c>
      <c r="S165">
        <v>1080</v>
      </c>
      <c r="T165">
        <v>154</v>
      </c>
    </row>
    <row r="166" spans="15:20" x14ac:dyDescent="0.3">
      <c r="O166">
        <v>165</v>
      </c>
      <c r="P166" t="s">
        <v>143</v>
      </c>
      <c r="Q166" t="s">
        <v>34</v>
      </c>
      <c r="R166">
        <v>396</v>
      </c>
      <c r="S166">
        <v>833</v>
      </c>
      <c r="T166">
        <v>205</v>
      </c>
    </row>
    <row r="167" spans="15:20" x14ac:dyDescent="0.3">
      <c r="O167">
        <v>166</v>
      </c>
      <c r="P167" t="s">
        <v>143</v>
      </c>
      <c r="Q167" t="s">
        <v>37</v>
      </c>
      <c r="R167">
        <v>265</v>
      </c>
      <c r="S167">
        <v>1011</v>
      </c>
      <c r="T167">
        <v>154</v>
      </c>
    </row>
    <row r="168" spans="15:20" x14ac:dyDescent="0.3">
      <c r="O168">
        <v>167</v>
      </c>
      <c r="P168" t="s">
        <v>144</v>
      </c>
      <c r="Q168" t="s">
        <v>34</v>
      </c>
      <c r="R168">
        <v>313</v>
      </c>
      <c r="S168">
        <v>917</v>
      </c>
      <c r="T168">
        <v>206</v>
      </c>
    </row>
    <row r="169" spans="15:20" x14ac:dyDescent="0.3">
      <c r="O169">
        <v>168</v>
      </c>
      <c r="P169" t="s">
        <v>144</v>
      </c>
      <c r="Q169" t="s">
        <v>37</v>
      </c>
      <c r="R169">
        <v>192</v>
      </c>
      <c r="S169">
        <v>1088</v>
      </c>
      <c r="T169">
        <v>155</v>
      </c>
    </row>
    <row r="170" spans="15:20" x14ac:dyDescent="0.3">
      <c r="O170">
        <v>169</v>
      </c>
      <c r="P170" t="s">
        <v>145</v>
      </c>
      <c r="Q170" t="s">
        <v>34</v>
      </c>
      <c r="R170">
        <v>402</v>
      </c>
      <c r="S170">
        <v>827</v>
      </c>
      <c r="T170">
        <v>206</v>
      </c>
    </row>
    <row r="171" spans="15:20" x14ac:dyDescent="0.3">
      <c r="O171">
        <v>170</v>
      </c>
      <c r="P171" t="s">
        <v>145</v>
      </c>
      <c r="Q171" t="s">
        <v>37</v>
      </c>
      <c r="R171">
        <v>184</v>
      </c>
      <c r="S171">
        <v>948</v>
      </c>
      <c r="T171">
        <v>304</v>
      </c>
    </row>
    <row r="172" spans="15:20" x14ac:dyDescent="0.3">
      <c r="O172">
        <v>171</v>
      </c>
      <c r="P172" t="s">
        <v>146</v>
      </c>
      <c r="Q172" t="s">
        <v>34</v>
      </c>
      <c r="R172">
        <v>434</v>
      </c>
      <c r="S172">
        <v>535</v>
      </c>
      <c r="T172">
        <v>466</v>
      </c>
    </row>
    <row r="173" spans="15:20" x14ac:dyDescent="0.3">
      <c r="O173">
        <v>172</v>
      </c>
      <c r="P173" t="s">
        <v>146</v>
      </c>
      <c r="Q173" t="s">
        <v>37</v>
      </c>
      <c r="R173">
        <v>132</v>
      </c>
      <c r="S173">
        <v>817</v>
      </c>
      <c r="T173">
        <v>488</v>
      </c>
    </row>
    <row r="174" spans="15:20" x14ac:dyDescent="0.3">
      <c r="O174">
        <v>173</v>
      </c>
      <c r="P174" t="s">
        <v>147</v>
      </c>
      <c r="Q174" t="s">
        <v>34</v>
      </c>
      <c r="R174">
        <v>176</v>
      </c>
      <c r="S174">
        <v>784</v>
      </c>
      <c r="T174">
        <v>474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148</v>
      </c>
      <c r="Q176" t="s">
        <v>34</v>
      </c>
      <c r="R176">
        <v>218</v>
      </c>
      <c r="S176">
        <v>807</v>
      </c>
      <c r="T176">
        <v>411</v>
      </c>
    </row>
    <row r="177" spans="15:20" x14ac:dyDescent="0.3">
      <c r="O177">
        <v>176</v>
      </c>
      <c r="P177" t="s">
        <v>148</v>
      </c>
      <c r="Q177" t="s">
        <v>37</v>
      </c>
      <c r="R177">
        <v>391</v>
      </c>
      <c r="S177">
        <v>733</v>
      </c>
      <c r="T177">
        <v>311</v>
      </c>
    </row>
    <row r="178" spans="15:20" x14ac:dyDescent="0.3">
      <c r="O178">
        <v>177</v>
      </c>
      <c r="P178" t="s">
        <v>149</v>
      </c>
      <c r="Q178" t="s">
        <v>34</v>
      </c>
      <c r="R178">
        <v>285</v>
      </c>
      <c r="S178">
        <v>738</v>
      </c>
      <c r="T178">
        <v>412</v>
      </c>
    </row>
    <row r="179" spans="15:20" x14ac:dyDescent="0.3">
      <c r="O179">
        <v>178</v>
      </c>
      <c r="P179" t="s">
        <v>149</v>
      </c>
      <c r="Q179" t="s">
        <v>37</v>
      </c>
      <c r="R179">
        <v>290</v>
      </c>
      <c r="S179">
        <v>990</v>
      </c>
      <c r="T179">
        <v>155</v>
      </c>
    </row>
    <row r="180" spans="15:20" x14ac:dyDescent="0.3">
      <c r="O180">
        <v>179</v>
      </c>
      <c r="P180" t="s">
        <v>150</v>
      </c>
      <c r="Q180" t="s">
        <v>34</v>
      </c>
      <c r="R180">
        <v>424</v>
      </c>
      <c r="S180">
        <v>807</v>
      </c>
      <c r="T180">
        <v>206</v>
      </c>
    </row>
    <row r="181" spans="15:20" x14ac:dyDescent="0.3">
      <c r="O181">
        <v>180</v>
      </c>
      <c r="P181" t="s">
        <v>150</v>
      </c>
      <c r="Q181" t="s">
        <v>37</v>
      </c>
      <c r="R181">
        <v>294</v>
      </c>
      <c r="S181">
        <v>985</v>
      </c>
      <c r="T181">
        <v>156</v>
      </c>
    </row>
    <row r="182" spans="15:20" x14ac:dyDescent="0.3">
      <c r="O182">
        <v>181</v>
      </c>
      <c r="P182" t="s">
        <v>151</v>
      </c>
      <c r="Q182" t="s">
        <v>34</v>
      </c>
      <c r="R182">
        <v>408</v>
      </c>
      <c r="S182">
        <v>824</v>
      </c>
      <c r="T182">
        <v>205</v>
      </c>
    </row>
    <row r="183" spans="15:20" x14ac:dyDescent="0.3">
      <c r="O183">
        <v>182</v>
      </c>
      <c r="P183" t="s">
        <v>151</v>
      </c>
      <c r="Q183" t="s">
        <v>37</v>
      </c>
      <c r="R183">
        <v>444</v>
      </c>
      <c r="S183">
        <v>834</v>
      </c>
      <c r="T183">
        <v>157</v>
      </c>
    </row>
    <row r="184" spans="15:20" x14ac:dyDescent="0.3">
      <c r="O184">
        <v>183</v>
      </c>
      <c r="P184" t="s">
        <v>152</v>
      </c>
      <c r="Q184" t="s">
        <v>34</v>
      </c>
      <c r="R184">
        <v>452</v>
      </c>
      <c r="S184">
        <v>777</v>
      </c>
      <c r="T184">
        <v>207</v>
      </c>
    </row>
    <row r="185" spans="15:20" x14ac:dyDescent="0.3">
      <c r="O185">
        <v>184</v>
      </c>
      <c r="P185" t="s">
        <v>152</v>
      </c>
      <c r="Q185" t="s">
        <v>37</v>
      </c>
      <c r="R185">
        <v>451</v>
      </c>
      <c r="S185">
        <v>826</v>
      </c>
      <c r="T185">
        <v>158</v>
      </c>
    </row>
    <row r="186" spans="15:20" x14ac:dyDescent="0.3">
      <c r="O186">
        <v>185</v>
      </c>
      <c r="P186" t="s">
        <v>153</v>
      </c>
      <c r="Q186" t="s">
        <v>34</v>
      </c>
      <c r="R186">
        <v>488</v>
      </c>
      <c r="S186">
        <v>712</v>
      </c>
      <c r="T186">
        <v>236</v>
      </c>
    </row>
    <row r="187" spans="15:20" x14ac:dyDescent="0.3">
      <c r="O187">
        <v>186</v>
      </c>
      <c r="P187" t="s">
        <v>153</v>
      </c>
      <c r="Q187" t="s">
        <v>37</v>
      </c>
      <c r="R187">
        <v>418</v>
      </c>
      <c r="S187">
        <v>771</v>
      </c>
      <c r="T187">
        <v>248</v>
      </c>
    </row>
    <row r="188" spans="15:20" x14ac:dyDescent="0.3">
      <c r="O188">
        <v>187</v>
      </c>
      <c r="P188" t="s">
        <v>154</v>
      </c>
      <c r="Q188" t="s">
        <v>34</v>
      </c>
      <c r="R188">
        <v>363</v>
      </c>
      <c r="S188">
        <v>833</v>
      </c>
      <c r="T188">
        <v>242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155</v>
      </c>
      <c r="Q190" t="s">
        <v>34</v>
      </c>
      <c r="R190">
        <v>330</v>
      </c>
      <c r="S190">
        <v>694</v>
      </c>
      <c r="T190">
        <v>412</v>
      </c>
    </row>
    <row r="191" spans="15:20" x14ac:dyDescent="0.3">
      <c r="O191">
        <v>190</v>
      </c>
      <c r="P191" t="s">
        <v>155</v>
      </c>
      <c r="Q191" t="s">
        <v>37</v>
      </c>
      <c r="R191">
        <v>348</v>
      </c>
      <c r="S191">
        <v>777</v>
      </c>
      <c r="T191">
        <v>309</v>
      </c>
    </row>
    <row r="192" spans="15:20" x14ac:dyDescent="0.3">
      <c r="O192">
        <v>191</v>
      </c>
      <c r="P192" t="s">
        <v>156</v>
      </c>
      <c r="Q192" t="s">
        <v>34</v>
      </c>
      <c r="R192">
        <v>239</v>
      </c>
      <c r="S192">
        <v>790</v>
      </c>
      <c r="T192">
        <v>407</v>
      </c>
    </row>
    <row r="193" spans="15:20" x14ac:dyDescent="0.3">
      <c r="O193">
        <v>192</v>
      </c>
      <c r="P193" t="s">
        <v>156</v>
      </c>
      <c r="Q193" t="s">
        <v>37</v>
      </c>
      <c r="R193">
        <v>314</v>
      </c>
      <c r="S193">
        <v>809</v>
      </c>
      <c r="T193">
        <v>308</v>
      </c>
    </row>
    <row r="194" spans="15:20" x14ac:dyDescent="0.3">
      <c r="O194">
        <v>193</v>
      </c>
      <c r="P194" t="s">
        <v>157</v>
      </c>
      <c r="Q194" t="s">
        <v>34</v>
      </c>
      <c r="R194">
        <v>294</v>
      </c>
      <c r="S194">
        <v>736</v>
      </c>
      <c r="T194">
        <v>406</v>
      </c>
    </row>
    <row r="195" spans="15:20" x14ac:dyDescent="0.3">
      <c r="O195">
        <v>194</v>
      </c>
      <c r="P195" t="s">
        <v>157</v>
      </c>
      <c r="Q195" t="s">
        <v>37</v>
      </c>
      <c r="R195">
        <v>118</v>
      </c>
      <c r="S195">
        <v>1010</v>
      </c>
      <c r="T195">
        <v>309</v>
      </c>
    </row>
    <row r="196" spans="15:20" x14ac:dyDescent="0.3">
      <c r="O196">
        <v>195</v>
      </c>
      <c r="P196" t="s">
        <v>158</v>
      </c>
      <c r="Q196" t="s">
        <v>34</v>
      </c>
      <c r="R196">
        <v>238</v>
      </c>
      <c r="S196">
        <v>792</v>
      </c>
      <c r="T196">
        <v>406</v>
      </c>
    </row>
    <row r="197" spans="15:20" x14ac:dyDescent="0.3">
      <c r="O197">
        <v>196</v>
      </c>
      <c r="P197" t="s">
        <v>158</v>
      </c>
      <c r="Q197" t="s">
        <v>37</v>
      </c>
      <c r="R197">
        <v>218</v>
      </c>
      <c r="S197">
        <v>909</v>
      </c>
      <c r="T197">
        <v>309</v>
      </c>
    </row>
    <row r="198" spans="15:20" x14ac:dyDescent="0.3">
      <c r="O198">
        <v>197</v>
      </c>
      <c r="P198" t="s">
        <v>159</v>
      </c>
      <c r="Q198" t="s">
        <v>34</v>
      </c>
      <c r="R198">
        <v>281</v>
      </c>
      <c r="S198">
        <v>751</v>
      </c>
      <c r="T198">
        <v>403</v>
      </c>
    </row>
    <row r="199" spans="15:20" x14ac:dyDescent="0.3">
      <c r="O199">
        <v>198</v>
      </c>
      <c r="P199" t="s">
        <v>159</v>
      </c>
      <c r="Q199" t="s">
        <v>37</v>
      </c>
      <c r="R199">
        <v>230</v>
      </c>
      <c r="S199">
        <v>898</v>
      </c>
      <c r="T199">
        <v>306</v>
      </c>
    </row>
    <row r="200" spans="15:20" x14ac:dyDescent="0.3">
      <c r="O200">
        <v>199</v>
      </c>
      <c r="P200" t="s">
        <v>160</v>
      </c>
      <c r="Q200" t="s">
        <v>34</v>
      </c>
      <c r="R200">
        <v>268</v>
      </c>
      <c r="S200">
        <v>699</v>
      </c>
      <c r="T200">
        <v>466</v>
      </c>
    </row>
    <row r="201" spans="15:20" x14ac:dyDescent="0.3">
      <c r="O201">
        <v>200</v>
      </c>
      <c r="P201" t="s">
        <v>160</v>
      </c>
      <c r="Q201" t="s">
        <v>37</v>
      </c>
      <c r="R201">
        <v>219</v>
      </c>
      <c r="S201">
        <v>728</v>
      </c>
      <c r="T201">
        <v>490</v>
      </c>
    </row>
    <row r="202" spans="15:20" x14ac:dyDescent="0.3">
      <c r="O202">
        <v>201</v>
      </c>
      <c r="P202" t="s">
        <v>161</v>
      </c>
      <c r="Q202" t="s">
        <v>34</v>
      </c>
      <c r="R202">
        <v>376</v>
      </c>
      <c r="S202">
        <v>584</v>
      </c>
      <c r="T202">
        <v>476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1440</v>
      </c>
    </row>
    <row r="204" spans="15:20" x14ac:dyDescent="0.3">
      <c r="O204">
        <v>203</v>
      </c>
      <c r="P204" t="s">
        <v>162</v>
      </c>
      <c r="Q204" t="s">
        <v>34</v>
      </c>
      <c r="R204">
        <v>342</v>
      </c>
      <c r="S204">
        <v>685</v>
      </c>
      <c r="T204">
        <v>408</v>
      </c>
    </row>
    <row r="205" spans="15:20" x14ac:dyDescent="0.3">
      <c r="O205">
        <v>204</v>
      </c>
      <c r="P205" t="s">
        <v>162</v>
      </c>
      <c r="Q205" t="s">
        <v>37</v>
      </c>
      <c r="R205">
        <v>357</v>
      </c>
      <c r="S205">
        <v>924</v>
      </c>
      <c r="T205">
        <v>155</v>
      </c>
    </row>
    <row r="206" spans="15:20" x14ac:dyDescent="0.3">
      <c r="O206">
        <v>205</v>
      </c>
      <c r="P206" t="s">
        <v>163</v>
      </c>
      <c r="Q206" t="s">
        <v>34</v>
      </c>
      <c r="R206">
        <v>398</v>
      </c>
      <c r="S206">
        <v>835</v>
      </c>
      <c r="T206">
        <v>203</v>
      </c>
    </row>
    <row r="207" spans="15:20" x14ac:dyDescent="0.3">
      <c r="O207">
        <v>206</v>
      </c>
      <c r="P207" t="s">
        <v>163</v>
      </c>
      <c r="Q207" t="s">
        <v>37</v>
      </c>
      <c r="R207">
        <v>278</v>
      </c>
      <c r="S207">
        <v>1002</v>
      </c>
      <c r="T207">
        <v>156</v>
      </c>
    </row>
    <row r="208" spans="15:20" x14ac:dyDescent="0.3">
      <c r="O208">
        <v>207</v>
      </c>
      <c r="P208" t="s">
        <v>164</v>
      </c>
      <c r="Q208" t="s">
        <v>34</v>
      </c>
      <c r="R208">
        <v>353</v>
      </c>
      <c r="S208">
        <v>879</v>
      </c>
      <c r="T208">
        <v>203</v>
      </c>
    </row>
    <row r="209" spans="15:20" x14ac:dyDescent="0.3">
      <c r="O209">
        <v>208</v>
      </c>
      <c r="P209" t="s">
        <v>164</v>
      </c>
      <c r="Q209" t="s">
        <v>37</v>
      </c>
      <c r="R209">
        <v>211</v>
      </c>
      <c r="S209">
        <v>1066</v>
      </c>
      <c r="T209">
        <v>159</v>
      </c>
    </row>
    <row r="210" spans="15:20" x14ac:dyDescent="0.3">
      <c r="O210">
        <v>209</v>
      </c>
      <c r="P210" t="s">
        <v>165</v>
      </c>
      <c r="Q210" t="s">
        <v>34</v>
      </c>
      <c r="R210">
        <v>363</v>
      </c>
      <c r="S210">
        <v>866</v>
      </c>
      <c r="T210">
        <v>205</v>
      </c>
    </row>
    <row r="211" spans="15:20" x14ac:dyDescent="0.3">
      <c r="O211">
        <v>210</v>
      </c>
      <c r="P211" t="s">
        <v>165</v>
      </c>
      <c r="Q211" t="s">
        <v>37</v>
      </c>
      <c r="R211">
        <v>255</v>
      </c>
      <c r="S211">
        <v>1022</v>
      </c>
      <c r="T211">
        <v>156</v>
      </c>
    </row>
    <row r="212" spans="15:20" x14ac:dyDescent="0.3">
      <c r="O212">
        <v>211</v>
      </c>
      <c r="P212" t="s">
        <v>166</v>
      </c>
      <c r="Q212" t="s">
        <v>34</v>
      </c>
      <c r="R212">
        <v>398</v>
      </c>
      <c r="S212">
        <v>832</v>
      </c>
      <c r="T212">
        <v>205</v>
      </c>
    </row>
    <row r="213" spans="15:20" x14ac:dyDescent="0.3">
      <c r="O213">
        <v>212</v>
      </c>
      <c r="P213" t="s">
        <v>166</v>
      </c>
      <c r="Q213" t="s">
        <v>37</v>
      </c>
      <c r="R213">
        <v>277</v>
      </c>
      <c r="S213">
        <v>1002</v>
      </c>
      <c r="T213">
        <v>156</v>
      </c>
    </row>
    <row r="214" spans="15:20" x14ac:dyDescent="0.3">
      <c r="O214">
        <v>213</v>
      </c>
      <c r="P214" t="s">
        <v>167</v>
      </c>
      <c r="Q214" t="s">
        <v>34</v>
      </c>
      <c r="R214">
        <v>290</v>
      </c>
      <c r="S214">
        <v>913</v>
      </c>
      <c r="T214">
        <v>234</v>
      </c>
    </row>
    <row r="215" spans="15:20" x14ac:dyDescent="0.3">
      <c r="O215">
        <v>214</v>
      </c>
      <c r="P215" t="s">
        <v>167</v>
      </c>
      <c r="Q215" t="s">
        <v>37</v>
      </c>
      <c r="R215">
        <v>160</v>
      </c>
      <c r="S215">
        <v>1027</v>
      </c>
      <c r="T215">
        <v>249</v>
      </c>
    </row>
    <row r="216" spans="15:20" x14ac:dyDescent="0.3">
      <c r="O216">
        <v>215</v>
      </c>
      <c r="P216" t="s">
        <v>168</v>
      </c>
      <c r="Q216" t="s">
        <v>34</v>
      </c>
      <c r="R216">
        <v>366</v>
      </c>
      <c r="S216">
        <v>825</v>
      </c>
      <c r="T216">
        <v>245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1441</v>
      </c>
    </row>
    <row r="218" spans="15:20" x14ac:dyDescent="0.3">
      <c r="O218">
        <v>217</v>
      </c>
      <c r="P218" t="s">
        <v>169</v>
      </c>
      <c r="Q218" t="s">
        <v>34</v>
      </c>
      <c r="R218">
        <v>236</v>
      </c>
      <c r="S218">
        <v>796</v>
      </c>
      <c r="T218">
        <v>405</v>
      </c>
    </row>
    <row r="219" spans="15:20" x14ac:dyDescent="0.3">
      <c r="O219">
        <v>218</v>
      </c>
      <c r="P219" t="s">
        <v>169</v>
      </c>
      <c r="Q219" t="s">
        <v>37</v>
      </c>
      <c r="R219">
        <v>173</v>
      </c>
      <c r="S219">
        <v>1106</v>
      </c>
      <c r="T219">
        <v>156</v>
      </c>
    </row>
    <row r="220" spans="15:20" x14ac:dyDescent="0.3">
      <c r="O220">
        <v>219</v>
      </c>
      <c r="P220" t="s">
        <v>170</v>
      </c>
      <c r="Q220" t="s">
        <v>34</v>
      </c>
      <c r="R220">
        <v>212</v>
      </c>
      <c r="S220">
        <v>1019</v>
      </c>
      <c r="T220">
        <v>204</v>
      </c>
    </row>
    <row r="221" spans="15:20" x14ac:dyDescent="0.3">
      <c r="O221">
        <v>220</v>
      </c>
      <c r="P221" t="s">
        <v>170</v>
      </c>
      <c r="Q221" t="s">
        <v>37</v>
      </c>
      <c r="R221">
        <v>161</v>
      </c>
      <c r="S221">
        <v>966</v>
      </c>
      <c r="T221">
        <v>308</v>
      </c>
    </row>
    <row r="222" spans="15:20" x14ac:dyDescent="0.3">
      <c r="O222">
        <v>221</v>
      </c>
      <c r="P222" t="s">
        <v>171</v>
      </c>
      <c r="Q222" t="s">
        <v>34</v>
      </c>
      <c r="R222">
        <v>330</v>
      </c>
      <c r="S222">
        <v>698</v>
      </c>
      <c r="T222">
        <v>407</v>
      </c>
    </row>
    <row r="223" spans="15:20" x14ac:dyDescent="0.3">
      <c r="O223">
        <v>222</v>
      </c>
      <c r="P223" t="s">
        <v>171</v>
      </c>
      <c r="Q223" t="s">
        <v>37</v>
      </c>
      <c r="R223">
        <v>243</v>
      </c>
      <c r="S223">
        <v>1040</v>
      </c>
      <c r="T223">
        <v>155</v>
      </c>
    </row>
    <row r="224" spans="15:20" x14ac:dyDescent="0.3">
      <c r="O224">
        <v>223</v>
      </c>
      <c r="P224" t="s">
        <v>172</v>
      </c>
      <c r="Q224" t="s">
        <v>34</v>
      </c>
      <c r="R224">
        <v>408</v>
      </c>
      <c r="S224">
        <v>836</v>
      </c>
      <c r="T224">
        <v>192</v>
      </c>
    </row>
    <row r="225" spans="15:20" x14ac:dyDescent="0.3">
      <c r="O225">
        <v>224</v>
      </c>
      <c r="P225" t="s">
        <v>172</v>
      </c>
      <c r="Q225" t="s">
        <v>37</v>
      </c>
      <c r="R225">
        <v>204</v>
      </c>
      <c r="S225">
        <v>1078</v>
      </c>
      <c r="T225">
        <v>152</v>
      </c>
    </row>
    <row r="226" spans="15:20" x14ac:dyDescent="0.3">
      <c r="O226">
        <v>225</v>
      </c>
      <c r="P226" t="s">
        <v>173</v>
      </c>
      <c r="Q226" t="s">
        <v>34</v>
      </c>
      <c r="R226">
        <v>392</v>
      </c>
      <c r="S226">
        <v>842</v>
      </c>
      <c r="T226">
        <v>203</v>
      </c>
    </row>
    <row r="227" spans="15:20" x14ac:dyDescent="0.3">
      <c r="O227">
        <v>226</v>
      </c>
      <c r="P227" t="s">
        <v>173</v>
      </c>
      <c r="Q227" t="s">
        <v>37</v>
      </c>
      <c r="R227">
        <v>176</v>
      </c>
      <c r="S227">
        <v>1106</v>
      </c>
      <c r="T227">
        <v>154</v>
      </c>
    </row>
    <row r="228" spans="15:20" x14ac:dyDescent="0.3">
      <c r="O228">
        <v>227</v>
      </c>
      <c r="P228" t="s">
        <v>174</v>
      </c>
      <c r="Q228" t="s">
        <v>34</v>
      </c>
      <c r="R228">
        <v>427</v>
      </c>
      <c r="S228">
        <v>776</v>
      </c>
      <c r="T228">
        <v>233</v>
      </c>
    </row>
    <row r="229" spans="15:20" x14ac:dyDescent="0.3">
      <c r="O229">
        <v>228</v>
      </c>
      <c r="P229" t="s">
        <v>174</v>
      </c>
      <c r="Q229" t="s">
        <v>37</v>
      </c>
      <c r="R229">
        <v>133</v>
      </c>
      <c r="S229">
        <v>811</v>
      </c>
      <c r="T229">
        <v>492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176</v>
      </c>
      <c r="Q232" t="s">
        <v>34</v>
      </c>
      <c r="R232">
        <v>224</v>
      </c>
      <c r="S232">
        <v>805</v>
      </c>
      <c r="T232">
        <v>408</v>
      </c>
    </row>
    <row r="233" spans="15:20" x14ac:dyDescent="0.3">
      <c r="O233">
        <v>232</v>
      </c>
      <c r="P233" t="s">
        <v>176</v>
      </c>
      <c r="Q233" t="s">
        <v>37</v>
      </c>
      <c r="R233">
        <v>158</v>
      </c>
      <c r="S233">
        <v>1276</v>
      </c>
      <c r="T233">
        <v>0</v>
      </c>
    </row>
    <row r="234" spans="15:20" x14ac:dyDescent="0.3">
      <c r="O234">
        <v>233</v>
      </c>
      <c r="P234" t="s">
        <v>177</v>
      </c>
      <c r="Q234" t="s">
        <v>34</v>
      </c>
      <c r="R234">
        <v>328</v>
      </c>
      <c r="S234">
        <v>1107</v>
      </c>
      <c r="T234">
        <v>0</v>
      </c>
    </row>
    <row r="235" spans="15:20" x14ac:dyDescent="0.3">
      <c r="O235">
        <v>234</v>
      </c>
      <c r="P235" t="s">
        <v>177</v>
      </c>
      <c r="Q235" t="s">
        <v>37</v>
      </c>
      <c r="R235">
        <v>151</v>
      </c>
      <c r="S235">
        <v>1126</v>
      </c>
      <c r="T235">
        <v>156</v>
      </c>
    </row>
    <row r="236" spans="15:20" x14ac:dyDescent="0.3">
      <c r="O236">
        <v>235</v>
      </c>
      <c r="P236" t="s">
        <v>178</v>
      </c>
      <c r="Q236" t="s">
        <v>34</v>
      </c>
      <c r="R236">
        <v>309</v>
      </c>
      <c r="S236">
        <v>923</v>
      </c>
      <c r="T236">
        <v>204</v>
      </c>
    </row>
    <row r="237" spans="15:20" x14ac:dyDescent="0.3">
      <c r="O237">
        <v>236</v>
      </c>
      <c r="P237" t="s">
        <v>178</v>
      </c>
      <c r="Q237" t="s">
        <v>37</v>
      </c>
      <c r="R237">
        <v>226</v>
      </c>
      <c r="S237">
        <v>774</v>
      </c>
      <c r="T237">
        <v>437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1440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1440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1440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1440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1440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1440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1440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1440</v>
      </c>
    </row>
    <row r="246" spans="15:20" x14ac:dyDescent="0.3">
      <c r="O246">
        <v>245</v>
      </c>
      <c r="P246" t="s">
        <v>183</v>
      </c>
      <c r="Q246" t="s">
        <v>34</v>
      </c>
      <c r="R246">
        <v>193</v>
      </c>
      <c r="S246">
        <v>839</v>
      </c>
      <c r="T246">
        <v>406</v>
      </c>
    </row>
    <row r="247" spans="15:20" x14ac:dyDescent="0.3">
      <c r="O247">
        <v>246</v>
      </c>
      <c r="P247" t="s">
        <v>183</v>
      </c>
      <c r="Q247" t="s">
        <v>37</v>
      </c>
      <c r="R247">
        <v>187</v>
      </c>
      <c r="S247">
        <v>1096</v>
      </c>
      <c r="T247">
        <v>153</v>
      </c>
    </row>
    <row r="248" spans="15:20" x14ac:dyDescent="0.3">
      <c r="O248">
        <v>247</v>
      </c>
      <c r="P248" t="s">
        <v>184</v>
      </c>
      <c r="Q248" t="s">
        <v>34</v>
      </c>
      <c r="R248">
        <v>453</v>
      </c>
      <c r="S248">
        <v>780</v>
      </c>
      <c r="T248">
        <v>203</v>
      </c>
    </row>
    <row r="249" spans="15:20" x14ac:dyDescent="0.3">
      <c r="O249">
        <v>248</v>
      </c>
      <c r="P249" t="s">
        <v>184</v>
      </c>
      <c r="Q249" t="s">
        <v>37</v>
      </c>
      <c r="R249">
        <v>260</v>
      </c>
      <c r="S249">
        <v>1020</v>
      </c>
      <c r="T249">
        <v>156</v>
      </c>
    </row>
    <row r="250" spans="15:20" x14ac:dyDescent="0.3">
      <c r="O250">
        <v>249</v>
      </c>
      <c r="P250" t="s">
        <v>185</v>
      </c>
      <c r="Q250" t="s">
        <v>34</v>
      </c>
      <c r="R250">
        <v>343</v>
      </c>
      <c r="S250">
        <v>889</v>
      </c>
      <c r="T250">
        <v>204</v>
      </c>
    </row>
    <row r="251" spans="15:20" x14ac:dyDescent="0.3">
      <c r="O251">
        <v>250</v>
      </c>
      <c r="P251" t="s">
        <v>185</v>
      </c>
      <c r="Q251" t="s">
        <v>37</v>
      </c>
      <c r="R251">
        <v>172</v>
      </c>
      <c r="S251">
        <v>955</v>
      </c>
      <c r="T251">
        <v>310</v>
      </c>
    </row>
    <row r="252" spans="15:20" x14ac:dyDescent="0.3">
      <c r="O252">
        <v>251</v>
      </c>
      <c r="P252" t="s">
        <v>186</v>
      </c>
      <c r="Q252" t="s">
        <v>34</v>
      </c>
      <c r="R252">
        <v>218</v>
      </c>
      <c r="S252">
        <v>813</v>
      </c>
      <c r="T252">
        <v>403</v>
      </c>
    </row>
    <row r="253" spans="15:20" x14ac:dyDescent="0.3">
      <c r="O253">
        <v>252</v>
      </c>
      <c r="P253" t="s">
        <v>186</v>
      </c>
      <c r="Q253" t="s">
        <v>37</v>
      </c>
      <c r="R253">
        <v>143</v>
      </c>
      <c r="S253">
        <v>981</v>
      </c>
      <c r="T253">
        <v>310</v>
      </c>
    </row>
    <row r="254" spans="15:20" x14ac:dyDescent="0.3">
      <c r="O254">
        <v>253</v>
      </c>
      <c r="P254" t="s">
        <v>187</v>
      </c>
      <c r="Q254" t="s">
        <v>34</v>
      </c>
      <c r="R254">
        <v>233</v>
      </c>
      <c r="S254">
        <v>798</v>
      </c>
      <c r="T254">
        <v>404</v>
      </c>
    </row>
    <row r="255" spans="15:20" x14ac:dyDescent="0.3">
      <c r="O255">
        <v>254</v>
      </c>
      <c r="P255" t="s">
        <v>187</v>
      </c>
      <c r="Q255" t="s">
        <v>37</v>
      </c>
      <c r="R255">
        <v>142</v>
      </c>
      <c r="S255">
        <v>1135</v>
      </c>
      <c r="T255">
        <v>157</v>
      </c>
    </row>
    <row r="256" spans="15:20" x14ac:dyDescent="0.3">
      <c r="O256">
        <v>255</v>
      </c>
      <c r="P256" t="s">
        <v>188</v>
      </c>
      <c r="Q256" t="s">
        <v>34</v>
      </c>
      <c r="R256">
        <v>349</v>
      </c>
      <c r="S256">
        <v>851</v>
      </c>
      <c r="T256">
        <v>234</v>
      </c>
    </row>
    <row r="257" spans="15:20" x14ac:dyDescent="0.3">
      <c r="O257">
        <v>256</v>
      </c>
      <c r="P257" t="s">
        <v>188</v>
      </c>
      <c r="Q257" t="s">
        <v>37</v>
      </c>
      <c r="R257">
        <v>140</v>
      </c>
      <c r="S257">
        <v>801</v>
      </c>
      <c r="T257">
        <v>494</v>
      </c>
    </row>
    <row r="258" spans="15:20" x14ac:dyDescent="0.3">
      <c r="O258">
        <v>257</v>
      </c>
      <c r="P258" t="s">
        <v>189</v>
      </c>
      <c r="Q258" t="s">
        <v>34</v>
      </c>
      <c r="R258">
        <v>203</v>
      </c>
      <c r="S258">
        <v>751</v>
      </c>
      <c r="T258">
        <v>479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1440</v>
      </c>
    </row>
    <row r="260" spans="15:20" x14ac:dyDescent="0.3">
      <c r="O260">
        <v>259</v>
      </c>
      <c r="P260" t="s">
        <v>190</v>
      </c>
      <c r="Q260" t="s">
        <v>34</v>
      </c>
      <c r="R260">
        <v>169</v>
      </c>
      <c r="S260">
        <v>863</v>
      </c>
      <c r="T260">
        <v>403</v>
      </c>
    </row>
    <row r="261" spans="15:20" x14ac:dyDescent="0.3">
      <c r="O261">
        <v>260</v>
      </c>
      <c r="P261" t="s">
        <v>190</v>
      </c>
      <c r="Q261" t="s">
        <v>37</v>
      </c>
      <c r="R261">
        <v>93</v>
      </c>
      <c r="S261">
        <v>1185</v>
      </c>
      <c r="T261">
        <v>156</v>
      </c>
    </row>
    <row r="262" spans="15:20" x14ac:dyDescent="0.3">
      <c r="O262">
        <v>261</v>
      </c>
      <c r="P262" t="s">
        <v>191</v>
      </c>
      <c r="Q262" t="s">
        <v>34</v>
      </c>
      <c r="R262">
        <v>527</v>
      </c>
      <c r="S262">
        <v>702</v>
      </c>
      <c r="T262">
        <v>206</v>
      </c>
    </row>
    <row r="263" spans="15:20" x14ac:dyDescent="0.3">
      <c r="O263">
        <v>262</v>
      </c>
      <c r="P263" t="s">
        <v>191</v>
      </c>
      <c r="Q263" t="s">
        <v>37</v>
      </c>
      <c r="R263">
        <v>513</v>
      </c>
      <c r="S263">
        <v>921</v>
      </c>
      <c r="T263">
        <v>0</v>
      </c>
    </row>
    <row r="264" spans="15:20" x14ac:dyDescent="0.3">
      <c r="O264">
        <v>263</v>
      </c>
      <c r="P264" t="s">
        <v>192</v>
      </c>
      <c r="Q264" t="s">
        <v>34</v>
      </c>
      <c r="R264">
        <v>593</v>
      </c>
      <c r="S264">
        <v>844</v>
      </c>
      <c r="T264">
        <v>0</v>
      </c>
    </row>
    <row r="265" spans="15:20" x14ac:dyDescent="0.3">
      <c r="O265">
        <v>264</v>
      </c>
      <c r="P265" t="s">
        <v>192</v>
      </c>
      <c r="Q265" t="s">
        <v>37</v>
      </c>
      <c r="R265">
        <v>205</v>
      </c>
      <c r="S265">
        <v>911</v>
      </c>
      <c r="T265">
        <v>321</v>
      </c>
    </row>
    <row r="266" spans="15:20" x14ac:dyDescent="0.3">
      <c r="O266">
        <v>265</v>
      </c>
      <c r="P266" t="s">
        <v>193</v>
      </c>
      <c r="Q266" t="s">
        <v>34</v>
      </c>
      <c r="R266">
        <v>154</v>
      </c>
      <c r="S266">
        <v>877</v>
      </c>
      <c r="T266">
        <v>405</v>
      </c>
    </row>
    <row r="267" spans="15:20" x14ac:dyDescent="0.3">
      <c r="O267">
        <v>266</v>
      </c>
      <c r="P267" t="s">
        <v>193</v>
      </c>
      <c r="Q267" t="s">
        <v>37</v>
      </c>
      <c r="R267">
        <v>255</v>
      </c>
      <c r="S267">
        <v>1021</v>
      </c>
      <c r="T267">
        <v>161</v>
      </c>
    </row>
    <row r="268" spans="15:20" x14ac:dyDescent="0.3">
      <c r="O268">
        <v>267</v>
      </c>
      <c r="P268" t="s">
        <v>194</v>
      </c>
      <c r="Q268" t="s">
        <v>34</v>
      </c>
      <c r="R268">
        <v>141</v>
      </c>
      <c r="S268">
        <v>1094</v>
      </c>
      <c r="T268">
        <v>200</v>
      </c>
    </row>
    <row r="269" spans="15:20" x14ac:dyDescent="0.3">
      <c r="O269">
        <v>268</v>
      </c>
      <c r="P269" t="s">
        <v>194</v>
      </c>
      <c r="Q269" t="s">
        <v>37</v>
      </c>
      <c r="R269">
        <v>155</v>
      </c>
      <c r="S269">
        <v>1120</v>
      </c>
      <c r="T269">
        <v>161</v>
      </c>
    </row>
    <row r="270" spans="15:20" x14ac:dyDescent="0.3">
      <c r="O270">
        <v>269</v>
      </c>
      <c r="P270" t="s">
        <v>195</v>
      </c>
      <c r="Q270" t="s">
        <v>34</v>
      </c>
      <c r="R270">
        <v>434</v>
      </c>
      <c r="S270">
        <v>769</v>
      </c>
      <c r="T270">
        <v>231</v>
      </c>
    </row>
    <row r="271" spans="15:20" x14ac:dyDescent="0.3">
      <c r="O271">
        <v>270</v>
      </c>
      <c r="P271" t="s">
        <v>195</v>
      </c>
      <c r="Q271" t="s">
        <v>37</v>
      </c>
      <c r="R271">
        <v>360</v>
      </c>
      <c r="S271">
        <v>826</v>
      </c>
      <c r="T271">
        <v>250</v>
      </c>
    </row>
    <row r="272" spans="15:20" x14ac:dyDescent="0.3">
      <c r="O272">
        <v>271</v>
      </c>
      <c r="P272" t="s">
        <v>196</v>
      </c>
      <c r="Q272" t="s">
        <v>34</v>
      </c>
      <c r="R272">
        <v>386</v>
      </c>
      <c r="S272">
        <v>810</v>
      </c>
      <c r="T272">
        <v>239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1440</v>
      </c>
    </row>
    <row r="274" spans="15:20" x14ac:dyDescent="0.3">
      <c r="O274">
        <v>273</v>
      </c>
      <c r="P274" t="s">
        <v>197</v>
      </c>
      <c r="Q274" t="s">
        <v>34</v>
      </c>
      <c r="R274">
        <v>282</v>
      </c>
      <c r="S274">
        <v>752</v>
      </c>
      <c r="T274">
        <v>400</v>
      </c>
    </row>
    <row r="275" spans="15:20" x14ac:dyDescent="0.3">
      <c r="O275">
        <v>274</v>
      </c>
      <c r="P275" t="s">
        <v>197</v>
      </c>
      <c r="Q275" t="s">
        <v>37</v>
      </c>
      <c r="R275">
        <v>270</v>
      </c>
      <c r="S275">
        <v>850</v>
      </c>
      <c r="T275">
        <v>314</v>
      </c>
    </row>
    <row r="276" spans="15:20" x14ac:dyDescent="0.3">
      <c r="O276">
        <v>275</v>
      </c>
      <c r="P276" t="s">
        <v>198</v>
      </c>
      <c r="Q276" t="s">
        <v>34</v>
      </c>
      <c r="R276">
        <v>349</v>
      </c>
      <c r="S276">
        <v>682</v>
      </c>
      <c r="T276">
        <v>406</v>
      </c>
    </row>
    <row r="277" spans="15:20" x14ac:dyDescent="0.3">
      <c r="O277">
        <v>276</v>
      </c>
      <c r="P277" t="s">
        <v>198</v>
      </c>
      <c r="Q277" t="s">
        <v>37</v>
      </c>
      <c r="R277">
        <v>318</v>
      </c>
      <c r="S277">
        <v>802</v>
      </c>
      <c r="T277">
        <v>314</v>
      </c>
    </row>
    <row r="278" spans="15:20" x14ac:dyDescent="0.3">
      <c r="O278">
        <v>277</v>
      </c>
      <c r="P278" t="s">
        <v>199</v>
      </c>
      <c r="Q278" t="s">
        <v>34</v>
      </c>
      <c r="R278">
        <v>250</v>
      </c>
      <c r="S278">
        <v>782</v>
      </c>
      <c r="T278">
        <v>402</v>
      </c>
    </row>
    <row r="279" spans="15:20" x14ac:dyDescent="0.3">
      <c r="O279">
        <v>278</v>
      </c>
      <c r="P279" t="s">
        <v>199</v>
      </c>
      <c r="Q279" t="s">
        <v>37</v>
      </c>
      <c r="R279">
        <v>356</v>
      </c>
      <c r="S279">
        <v>763</v>
      </c>
      <c r="T279">
        <v>312</v>
      </c>
    </row>
    <row r="280" spans="15:20" x14ac:dyDescent="0.3">
      <c r="O280">
        <v>279</v>
      </c>
      <c r="P280" t="s">
        <v>200</v>
      </c>
      <c r="Q280" t="s">
        <v>34</v>
      </c>
      <c r="R280">
        <v>321</v>
      </c>
      <c r="S280">
        <v>710</v>
      </c>
      <c r="T280">
        <v>403</v>
      </c>
    </row>
    <row r="281" spans="15:20" x14ac:dyDescent="0.3">
      <c r="O281">
        <v>280</v>
      </c>
      <c r="P281" t="s">
        <v>200</v>
      </c>
      <c r="Q281" t="s">
        <v>37</v>
      </c>
      <c r="R281">
        <v>314</v>
      </c>
      <c r="S281">
        <v>804</v>
      </c>
      <c r="T281">
        <v>315</v>
      </c>
    </row>
    <row r="282" spans="15:20" x14ac:dyDescent="0.3">
      <c r="O282">
        <v>281</v>
      </c>
      <c r="P282" t="s">
        <v>201</v>
      </c>
      <c r="Q282" t="s">
        <v>34</v>
      </c>
      <c r="R282">
        <v>228</v>
      </c>
      <c r="S282">
        <v>804</v>
      </c>
      <c r="T282">
        <v>403</v>
      </c>
    </row>
    <row r="283" spans="15:20" x14ac:dyDescent="0.3">
      <c r="O283">
        <v>282</v>
      </c>
      <c r="P283" t="s">
        <v>201</v>
      </c>
      <c r="Q283" t="s">
        <v>37</v>
      </c>
      <c r="R283">
        <v>108</v>
      </c>
      <c r="S283">
        <v>1015</v>
      </c>
      <c r="T283">
        <v>313</v>
      </c>
    </row>
    <row r="284" spans="15:20" x14ac:dyDescent="0.3">
      <c r="O284">
        <v>283</v>
      </c>
      <c r="P284" t="s">
        <v>202</v>
      </c>
      <c r="Q284" t="s">
        <v>34</v>
      </c>
      <c r="R284">
        <v>288</v>
      </c>
      <c r="S284">
        <v>688</v>
      </c>
      <c r="T284">
        <v>459</v>
      </c>
    </row>
    <row r="285" spans="15:20" x14ac:dyDescent="0.3">
      <c r="O285">
        <v>284</v>
      </c>
      <c r="P285" t="s">
        <v>202</v>
      </c>
      <c r="Q285" t="s">
        <v>37</v>
      </c>
      <c r="R285">
        <v>133</v>
      </c>
      <c r="S285">
        <v>811</v>
      </c>
      <c r="T285">
        <v>493</v>
      </c>
    </row>
    <row r="286" spans="15:20" x14ac:dyDescent="0.3">
      <c r="O286">
        <v>285</v>
      </c>
      <c r="P286" t="s">
        <v>203</v>
      </c>
      <c r="Q286" t="s">
        <v>34</v>
      </c>
      <c r="R286">
        <v>121</v>
      </c>
      <c r="S286">
        <v>839</v>
      </c>
      <c r="T286">
        <v>476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1440</v>
      </c>
    </row>
    <row r="288" spans="15:20" x14ac:dyDescent="0.3">
      <c r="O288">
        <v>287</v>
      </c>
      <c r="P288" t="s">
        <v>204</v>
      </c>
      <c r="Q288" t="s">
        <v>34</v>
      </c>
      <c r="R288">
        <v>174</v>
      </c>
      <c r="S288">
        <v>856</v>
      </c>
      <c r="T288">
        <v>406</v>
      </c>
    </row>
    <row r="289" spans="15:20" x14ac:dyDescent="0.3">
      <c r="O289">
        <v>288</v>
      </c>
      <c r="P289" t="s">
        <v>204</v>
      </c>
      <c r="Q289" t="s">
        <v>37</v>
      </c>
      <c r="R289">
        <v>306</v>
      </c>
      <c r="S289">
        <v>971</v>
      </c>
      <c r="T289">
        <v>158</v>
      </c>
    </row>
    <row r="290" spans="15:20" x14ac:dyDescent="0.3">
      <c r="O290">
        <v>289</v>
      </c>
      <c r="P290" t="s">
        <v>205</v>
      </c>
      <c r="Q290" t="s">
        <v>34</v>
      </c>
      <c r="R290">
        <v>350</v>
      </c>
      <c r="S290">
        <v>883</v>
      </c>
      <c r="T290">
        <v>203</v>
      </c>
    </row>
    <row r="291" spans="15:20" x14ac:dyDescent="0.3">
      <c r="O291">
        <v>290</v>
      </c>
      <c r="P291" t="s">
        <v>205</v>
      </c>
      <c r="Q291" t="s">
        <v>37</v>
      </c>
      <c r="R291">
        <v>226</v>
      </c>
      <c r="S291">
        <v>1211</v>
      </c>
      <c r="T291">
        <v>0</v>
      </c>
    </row>
    <row r="292" spans="15:20" x14ac:dyDescent="0.3">
      <c r="O292">
        <v>291</v>
      </c>
      <c r="P292" t="s">
        <v>206</v>
      </c>
      <c r="Q292" t="s">
        <v>34</v>
      </c>
      <c r="R292">
        <v>544</v>
      </c>
      <c r="S292">
        <v>892</v>
      </c>
      <c r="T292">
        <v>0</v>
      </c>
    </row>
    <row r="293" spans="15:20" x14ac:dyDescent="0.3">
      <c r="O293">
        <v>292</v>
      </c>
      <c r="P293" t="s">
        <v>206</v>
      </c>
      <c r="Q293" t="s">
        <v>37</v>
      </c>
      <c r="R293">
        <v>318</v>
      </c>
      <c r="S293">
        <v>957</v>
      </c>
      <c r="T293">
        <v>160</v>
      </c>
    </row>
    <row r="294" spans="15:20" x14ac:dyDescent="0.3">
      <c r="O294">
        <v>293</v>
      </c>
      <c r="P294" t="s">
        <v>207</v>
      </c>
      <c r="Q294" t="s">
        <v>34</v>
      </c>
      <c r="R294">
        <v>465</v>
      </c>
      <c r="S294">
        <v>769</v>
      </c>
      <c r="T294">
        <v>201</v>
      </c>
    </row>
    <row r="295" spans="15:20" x14ac:dyDescent="0.3">
      <c r="O295">
        <v>294</v>
      </c>
      <c r="P295" t="s">
        <v>207</v>
      </c>
      <c r="Q295" t="s">
        <v>37</v>
      </c>
      <c r="R295">
        <v>354</v>
      </c>
      <c r="S295">
        <v>772</v>
      </c>
      <c r="T295">
        <v>310</v>
      </c>
    </row>
    <row r="296" spans="15:20" x14ac:dyDescent="0.3">
      <c r="O296">
        <v>295</v>
      </c>
      <c r="P296" t="s">
        <v>208</v>
      </c>
      <c r="Q296" t="s">
        <v>34</v>
      </c>
      <c r="R296">
        <v>219</v>
      </c>
      <c r="S296">
        <v>809</v>
      </c>
      <c r="T296">
        <v>408</v>
      </c>
    </row>
    <row r="297" spans="15:20" x14ac:dyDescent="0.3">
      <c r="O297">
        <v>296</v>
      </c>
      <c r="P297" t="s">
        <v>208</v>
      </c>
      <c r="Q297" t="s">
        <v>37</v>
      </c>
      <c r="R297">
        <v>283</v>
      </c>
      <c r="S297">
        <v>836</v>
      </c>
      <c r="T297">
        <v>316</v>
      </c>
    </row>
    <row r="298" spans="15:20" x14ac:dyDescent="0.3">
      <c r="O298">
        <v>297</v>
      </c>
      <c r="P298" t="s">
        <v>209</v>
      </c>
      <c r="Q298" t="s">
        <v>34</v>
      </c>
      <c r="R298">
        <v>215</v>
      </c>
      <c r="S298">
        <v>759</v>
      </c>
      <c r="T298">
        <v>462</v>
      </c>
    </row>
    <row r="299" spans="15:20" x14ac:dyDescent="0.3">
      <c r="O299">
        <v>298</v>
      </c>
      <c r="P299" t="s">
        <v>209</v>
      </c>
      <c r="Q299" t="s">
        <v>37</v>
      </c>
      <c r="R299">
        <v>196</v>
      </c>
      <c r="S299">
        <v>740</v>
      </c>
      <c r="T299">
        <v>501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1403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1440</v>
      </c>
    </row>
    <row r="302" spans="15:20" x14ac:dyDescent="0.3">
      <c r="O302">
        <v>301</v>
      </c>
      <c r="P302" t="s">
        <v>33</v>
      </c>
      <c r="Q302" t="s">
        <v>34</v>
      </c>
      <c r="R302">
        <v>220</v>
      </c>
      <c r="S302">
        <v>813</v>
      </c>
      <c r="T302">
        <v>402</v>
      </c>
    </row>
    <row r="303" spans="15:20" x14ac:dyDescent="0.3">
      <c r="O303">
        <v>302</v>
      </c>
      <c r="P303" t="s">
        <v>33</v>
      </c>
      <c r="Q303" t="s">
        <v>37</v>
      </c>
      <c r="R303">
        <v>117</v>
      </c>
      <c r="S303">
        <v>1005</v>
      </c>
      <c r="T303">
        <v>315</v>
      </c>
    </row>
    <row r="304" spans="15:20" x14ac:dyDescent="0.3">
      <c r="O304">
        <v>303</v>
      </c>
      <c r="P304" t="s">
        <v>39</v>
      </c>
      <c r="Q304" t="s">
        <v>34</v>
      </c>
      <c r="R304">
        <v>167</v>
      </c>
      <c r="S304">
        <v>868</v>
      </c>
      <c r="T304">
        <v>400</v>
      </c>
    </row>
    <row r="305" spans="15:20" x14ac:dyDescent="0.3">
      <c r="O305">
        <v>304</v>
      </c>
      <c r="P305" t="s">
        <v>39</v>
      </c>
      <c r="Q305" t="s">
        <v>37</v>
      </c>
      <c r="R305">
        <v>75</v>
      </c>
      <c r="S305">
        <v>1046</v>
      </c>
      <c r="T305">
        <v>314</v>
      </c>
    </row>
    <row r="306" spans="15:20" x14ac:dyDescent="0.3">
      <c r="O306">
        <v>305</v>
      </c>
      <c r="P306" t="s">
        <v>43</v>
      </c>
      <c r="Q306" t="s">
        <v>34</v>
      </c>
      <c r="R306">
        <v>233</v>
      </c>
      <c r="S306">
        <v>798</v>
      </c>
      <c r="T306">
        <v>403</v>
      </c>
    </row>
    <row r="307" spans="15:20" x14ac:dyDescent="0.3">
      <c r="O307">
        <v>306</v>
      </c>
      <c r="P307" t="s">
        <v>43</v>
      </c>
      <c r="Q307" t="s">
        <v>37</v>
      </c>
      <c r="R307">
        <v>159</v>
      </c>
      <c r="S307">
        <v>962</v>
      </c>
      <c r="T307">
        <v>313</v>
      </c>
    </row>
    <row r="308" spans="15:20" x14ac:dyDescent="0.3">
      <c r="O308">
        <v>307</v>
      </c>
      <c r="P308" t="s">
        <v>48</v>
      </c>
      <c r="Q308" t="s">
        <v>34</v>
      </c>
      <c r="R308">
        <v>272</v>
      </c>
      <c r="S308">
        <v>765</v>
      </c>
      <c r="T308">
        <v>397</v>
      </c>
    </row>
    <row r="309" spans="15:20" x14ac:dyDescent="0.3">
      <c r="O309">
        <v>308</v>
      </c>
      <c r="P309" t="s">
        <v>48</v>
      </c>
      <c r="Q309" t="s">
        <v>37</v>
      </c>
      <c r="R309">
        <v>170</v>
      </c>
      <c r="S309">
        <v>949</v>
      </c>
      <c r="T309">
        <v>315</v>
      </c>
    </row>
    <row r="310" spans="15:20" x14ac:dyDescent="0.3">
      <c r="O310">
        <v>309</v>
      </c>
      <c r="P310" t="s">
        <v>52</v>
      </c>
      <c r="Q310" t="s">
        <v>34</v>
      </c>
      <c r="R310">
        <v>196</v>
      </c>
      <c r="S310">
        <v>840</v>
      </c>
      <c r="T310">
        <v>399</v>
      </c>
    </row>
    <row r="311" spans="15:20" x14ac:dyDescent="0.3">
      <c r="O311">
        <v>310</v>
      </c>
      <c r="P311" t="s">
        <v>52</v>
      </c>
      <c r="Q311" t="s">
        <v>37</v>
      </c>
      <c r="R311">
        <v>331</v>
      </c>
      <c r="S311">
        <v>945</v>
      </c>
      <c r="T311">
        <v>158</v>
      </c>
    </row>
    <row r="312" spans="15:20" x14ac:dyDescent="0.3">
      <c r="O312">
        <v>311</v>
      </c>
      <c r="P312" t="s">
        <v>56</v>
      </c>
      <c r="Q312" t="s">
        <v>34</v>
      </c>
      <c r="R312">
        <v>492</v>
      </c>
      <c r="S312">
        <v>715</v>
      </c>
      <c r="T312">
        <v>229</v>
      </c>
    </row>
    <row r="313" spans="15:20" x14ac:dyDescent="0.3">
      <c r="O313">
        <v>312</v>
      </c>
      <c r="P313" t="s">
        <v>56</v>
      </c>
      <c r="Q313" t="s">
        <v>37</v>
      </c>
      <c r="R313">
        <v>156</v>
      </c>
      <c r="S313">
        <v>785</v>
      </c>
      <c r="T313">
        <v>496</v>
      </c>
    </row>
    <row r="314" spans="15:20" x14ac:dyDescent="0.3">
      <c r="O314">
        <v>313</v>
      </c>
      <c r="P314" t="s">
        <v>60</v>
      </c>
      <c r="Q314" t="s">
        <v>34</v>
      </c>
      <c r="R314">
        <v>172</v>
      </c>
      <c r="S314">
        <v>787</v>
      </c>
      <c r="T314">
        <v>475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1440</v>
      </c>
    </row>
    <row r="316" spans="15:20" x14ac:dyDescent="0.3">
      <c r="O316">
        <v>315</v>
      </c>
      <c r="P316" t="s">
        <v>62</v>
      </c>
      <c r="Q316" t="s">
        <v>34</v>
      </c>
      <c r="R316">
        <v>161</v>
      </c>
      <c r="S316">
        <v>872</v>
      </c>
      <c r="T316">
        <v>403</v>
      </c>
    </row>
    <row r="317" spans="15:20" x14ac:dyDescent="0.3">
      <c r="O317">
        <v>316</v>
      </c>
      <c r="P317" t="s">
        <v>62</v>
      </c>
      <c r="Q317" t="s">
        <v>37</v>
      </c>
      <c r="R317">
        <v>276</v>
      </c>
      <c r="S317">
        <v>1002</v>
      </c>
      <c r="T317">
        <v>160</v>
      </c>
    </row>
    <row r="318" spans="15:20" x14ac:dyDescent="0.3">
      <c r="O318">
        <v>317</v>
      </c>
      <c r="P318" t="s">
        <v>64</v>
      </c>
      <c r="Q318" t="s">
        <v>34</v>
      </c>
      <c r="R318">
        <v>459</v>
      </c>
      <c r="S318">
        <v>774</v>
      </c>
      <c r="T318">
        <v>203</v>
      </c>
    </row>
    <row r="319" spans="15:20" x14ac:dyDescent="0.3">
      <c r="O319">
        <v>318</v>
      </c>
      <c r="P319" t="s">
        <v>64</v>
      </c>
      <c r="Q319" t="s">
        <v>37</v>
      </c>
      <c r="R319">
        <v>229</v>
      </c>
      <c r="S319">
        <v>1049</v>
      </c>
      <c r="T319">
        <v>159</v>
      </c>
    </row>
    <row r="320" spans="15:20" x14ac:dyDescent="0.3">
      <c r="O320">
        <v>319</v>
      </c>
      <c r="P320" t="s">
        <v>66</v>
      </c>
      <c r="Q320" t="s">
        <v>34</v>
      </c>
      <c r="R320">
        <v>370</v>
      </c>
      <c r="S320">
        <v>865</v>
      </c>
      <c r="T320">
        <v>202</v>
      </c>
    </row>
    <row r="321" spans="15:20" x14ac:dyDescent="0.3">
      <c r="O321">
        <v>320</v>
      </c>
      <c r="P321" t="s">
        <v>66</v>
      </c>
      <c r="Q321" t="s">
        <v>37</v>
      </c>
      <c r="R321">
        <v>246</v>
      </c>
      <c r="S321">
        <v>1029</v>
      </c>
      <c r="T321">
        <v>160</v>
      </c>
    </row>
    <row r="322" spans="15:20" x14ac:dyDescent="0.3">
      <c r="O322">
        <v>321</v>
      </c>
      <c r="P322" t="s">
        <v>68</v>
      </c>
      <c r="Q322" t="s">
        <v>34</v>
      </c>
      <c r="R322">
        <v>328</v>
      </c>
      <c r="S322">
        <v>906</v>
      </c>
      <c r="T322">
        <v>202</v>
      </c>
    </row>
    <row r="323" spans="15:20" x14ac:dyDescent="0.3">
      <c r="O323">
        <v>322</v>
      </c>
      <c r="P323" t="s">
        <v>68</v>
      </c>
      <c r="Q323" t="s">
        <v>37</v>
      </c>
      <c r="R323">
        <v>154</v>
      </c>
      <c r="S323">
        <v>1283</v>
      </c>
      <c r="T323">
        <v>0</v>
      </c>
    </row>
    <row r="324" spans="15:20" x14ac:dyDescent="0.3">
      <c r="O324">
        <v>323</v>
      </c>
      <c r="P324" t="s">
        <v>70</v>
      </c>
      <c r="Q324" t="s">
        <v>34</v>
      </c>
      <c r="R324">
        <v>535</v>
      </c>
      <c r="S324">
        <v>901</v>
      </c>
      <c r="T324">
        <v>0</v>
      </c>
    </row>
    <row r="325" spans="15:20" x14ac:dyDescent="0.3">
      <c r="O325">
        <v>324</v>
      </c>
      <c r="P325" t="s">
        <v>70</v>
      </c>
      <c r="Q325" t="s">
        <v>37</v>
      </c>
      <c r="R325">
        <v>247</v>
      </c>
      <c r="S325">
        <v>967</v>
      </c>
      <c r="T325">
        <v>220</v>
      </c>
    </row>
    <row r="326" spans="15:20" x14ac:dyDescent="0.3">
      <c r="O326">
        <v>325</v>
      </c>
      <c r="P326" t="s">
        <v>72</v>
      </c>
      <c r="Q326" t="s">
        <v>34</v>
      </c>
      <c r="R326">
        <v>369</v>
      </c>
      <c r="S326">
        <v>834</v>
      </c>
      <c r="T326">
        <v>233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326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0" max="10" width="9.10937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513</v>
      </c>
      <c r="E2">
        <v>1035</v>
      </c>
      <c r="F2">
        <v>605</v>
      </c>
      <c r="H2" t="s">
        <v>35</v>
      </c>
      <c r="I2" s="1">
        <v>0.81882352941176473</v>
      </c>
      <c r="J2" s="1">
        <v>0.80589473684210522</v>
      </c>
      <c r="K2" s="1">
        <f>IFERROR(SUMIFS(S:S,P:P,"*/01/2026")/(SUMIFS(R:R,P:P,"*/01/2026")+SUMIFS(S:S,P:P,"*/01/2026")+SUMIFS(T:T,P:P,"*/01/2026")),"")</f>
        <v>0.42920864938299558</v>
      </c>
      <c r="L2" s="1">
        <f>IFERROR(SUMIFS(R:R,P:P,"*/01/2026")/(SUMIFS(R:R,P:P,"*/01/2026")+SUMIFS(S:S,P:P,"*/01/2026")+SUMIFS(T:T,P:P,"*/01/2026")),"")</f>
        <v>0.2728706743650704</v>
      </c>
      <c r="M2" s="1">
        <f>IFERROR(SUMIFS(T:T,P:P,"*/01/2026")/(SUMIFS(R:R,P:P,"*/01/2026")+SUMIFS(S:S,P:P,"*/01/2026")+SUMIFS(T:T,P:P,"*/01/2026")),"")</f>
        <v>0.29792067625193402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742</v>
      </c>
      <c r="E3">
        <v>1408</v>
      </c>
      <c r="F3">
        <v>0</v>
      </c>
      <c r="H3" t="s">
        <v>38</v>
      </c>
      <c r="I3" s="1">
        <v>0.81882352941176473</v>
      </c>
      <c r="J3" s="1">
        <v>0.80589473684210522</v>
      </c>
      <c r="K3" s="1">
        <f>IFERROR(SUMIFS(S:S,P:P,"*/02/2026")/(SUMIFS(R:R,P:P,"*/02/2026")+SUMIFS(S:S,P:P,"*/02/2026")+SUMIFS(T:T,P:P,"*/02/2026")),"")</f>
        <v>0.35062080634325571</v>
      </c>
      <c r="L3" s="1">
        <f>IFERROR(SUMIFS(R:R,P:P,"*/02/2026")/(SUMIFS(R:R,P:P,"*/02/2026")+SUMIFS(S:S,P:P,"*/02/2026")+SUMIFS(T:T,P:P,"*/02/2026")),"")</f>
        <v>0.18498950808250877</v>
      </c>
      <c r="M3" s="1">
        <f>IFERROR(SUMIFS(T:T,P:P,"*/02/2026")/(SUMIFS(R:R,P:P,"*/02/2026")+SUMIFS(S:S,P:P,"*/02/2026")+SUMIFS(T:T,P:P,"*/02/2026")),"")</f>
        <v>0.46438968557423549</v>
      </c>
      <c r="O3">
        <v>2</v>
      </c>
      <c r="P3" t="s">
        <v>36</v>
      </c>
      <c r="Q3" t="s">
        <v>37</v>
      </c>
      <c r="R3">
        <v>60</v>
      </c>
      <c r="S3">
        <v>156</v>
      </c>
      <c r="T3">
        <v>1942</v>
      </c>
    </row>
    <row r="4" spans="1:20" x14ac:dyDescent="0.3">
      <c r="A4">
        <v>3</v>
      </c>
      <c r="B4" t="s">
        <v>39</v>
      </c>
      <c r="C4" t="s">
        <v>34</v>
      </c>
      <c r="D4">
        <v>961</v>
      </c>
      <c r="E4">
        <v>1192</v>
      </c>
      <c r="F4">
        <v>1</v>
      </c>
      <c r="H4" t="s">
        <v>40</v>
      </c>
      <c r="I4" s="1">
        <v>0.81882352941176473</v>
      </c>
      <c r="J4" s="1">
        <v>0.80589473684210522</v>
      </c>
      <c r="K4" s="1">
        <f>IFERROR(SUMIFS(S:S,P:P,"*/03/2026")/(SUMIFS(R:R,P:P,"*/03/2026")+SUMIFS(S:S,P:P,"*/03/2026")+SUMIFS(T:T,P:P,"*/03/2026")),"")</f>
        <v>0.47774013020139339</v>
      </c>
      <c r="L4" s="1">
        <f>IFERROR(SUMIFS(R:R,P:P,"*/03/2026")/(SUMIFS(R:R,P:P,"*/03/2026")+SUMIFS(S:S,P:P,"*/03/2026")+SUMIFS(T:T,P:P,"*/03/2026")),"")</f>
        <v>0.31260516998515248</v>
      </c>
      <c r="M4" s="1">
        <f>IFERROR(SUMIFS(T:T,P:P,"*/03/2026")/(SUMIFS(R:R,P:P,"*/03/2026")+SUMIFS(S:S,P:P,"*/03/2026")+SUMIFS(T:T,P:P,"*/03/2026")),"")</f>
        <v>0.20965469981345414</v>
      </c>
      <c r="O4">
        <v>3</v>
      </c>
      <c r="P4" t="s">
        <v>41</v>
      </c>
      <c r="Q4" t="s">
        <v>34</v>
      </c>
      <c r="R4">
        <v>521</v>
      </c>
      <c r="S4">
        <v>1628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652</v>
      </c>
      <c r="E5">
        <v>1276</v>
      </c>
      <c r="F5">
        <v>223</v>
      </c>
      <c r="H5" t="s">
        <v>42</v>
      </c>
      <c r="I5" s="1">
        <v>0.81882352941176473</v>
      </c>
      <c r="J5" s="1">
        <v>0.80589473684210522</v>
      </c>
      <c r="K5" s="1">
        <f>IFERROR(SUMIFS(S:S,P:P,"*/04/2026")/(SUMIFS(R:R,P:P,"*/04/2026")+SUMIFS(S:S,P:P,"*/04/2026")+SUMIFS(T:T,P:P,"*/04/2026")),"")</f>
        <v>0.49881816843231014</v>
      </c>
      <c r="L5" s="1">
        <f>IFERROR(SUMIFS(R:R,P:P,"*/04/2026")/(SUMIFS(R:R,P:P,"*/04/2026")+SUMIFS(S:S,P:P,"*/04/2026")+SUMIFS(T:T,P:P,"*/04/2026")),"")</f>
        <v>0.2953261467641064</v>
      </c>
      <c r="M5" s="1">
        <f>IFERROR(SUMIFS(T:T,P:P,"*/04/2026")/(SUMIFS(R:R,P:P,"*/04/2026")+SUMIFS(S:S,P:P,"*/04/2026")+SUMIFS(T:T,P:P,"*/04/2026")),"")</f>
        <v>0.20585568480358346</v>
      </c>
      <c r="O5">
        <v>4</v>
      </c>
      <c r="P5" t="s">
        <v>41</v>
      </c>
      <c r="Q5" t="s">
        <v>37</v>
      </c>
      <c r="R5">
        <v>1152</v>
      </c>
      <c r="S5">
        <v>1000</v>
      </c>
      <c r="T5">
        <v>1</v>
      </c>
    </row>
    <row r="6" spans="1:20" x14ac:dyDescent="0.3">
      <c r="A6">
        <v>5</v>
      </c>
      <c r="B6" t="s">
        <v>43</v>
      </c>
      <c r="C6" t="s">
        <v>34</v>
      </c>
      <c r="D6">
        <v>635</v>
      </c>
      <c r="E6">
        <v>1112</v>
      </c>
      <c r="F6">
        <v>405</v>
      </c>
      <c r="H6" t="s">
        <v>44</v>
      </c>
      <c r="I6" s="1">
        <v>0.81882352941176473</v>
      </c>
      <c r="J6" s="1">
        <v>0.80589473684210522</v>
      </c>
      <c r="K6" s="1">
        <f>IFERROR(SUMIFS(S:S,P:P,"*/05/2026")/(SUMIFS(R:R,P:P,"*/05/2026")+SUMIFS(S:S,P:P,"*/05/2026")+SUMIFS(T:T,P:P,"*/05/2026")),"")</f>
        <v>0.43226691453158028</v>
      </c>
      <c r="L6" s="1">
        <f>IFERROR(SUMIFS(R:R,P:P,"*/05/2026")/(SUMIFS(R:R,P:P,"*/05/2026")+SUMIFS(S:S,P:P,"*/05/2026")+SUMIFS(T:T,P:P,"*/05/2026")),"")</f>
        <v>0.28124672053730715</v>
      </c>
      <c r="M6" s="1">
        <f>IFERROR(SUMIFS(T:T,P:P,"*/05/2026")/(SUMIFS(R:R,P:P,"*/05/2026")+SUMIFS(S:S,P:P,"*/05/2026")+SUMIFS(T:T,P:P,"*/05/2026")),"")</f>
        <v>0.28648636493111257</v>
      </c>
      <c r="O6">
        <v>5</v>
      </c>
      <c r="P6" t="s">
        <v>45</v>
      </c>
      <c r="Q6" t="s">
        <v>37</v>
      </c>
      <c r="R6">
        <v>763</v>
      </c>
      <c r="S6">
        <v>2271</v>
      </c>
      <c r="T6">
        <v>461</v>
      </c>
    </row>
    <row r="7" spans="1:20" x14ac:dyDescent="0.3">
      <c r="A7">
        <v>6</v>
      </c>
      <c r="B7" t="s">
        <v>43</v>
      </c>
      <c r="C7" t="s">
        <v>37</v>
      </c>
      <c r="D7">
        <v>581</v>
      </c>
      <c r="E7">
        <v>1266</v>
      </c>
      <c r="F7">
        <v>298</v>
      </c>
      <c r="H7" t="s">
        <v>46</v>
      </c>
      <c r="I7" s="1">
        <v>0.81882352941176473</v>
      </c>
      <c r="J7" s="1">
        <v>0.80589473684210522</v>
      </c>
      <c r="K7" s="1">
        <f>IFERROR(SUMIFS(S:S,P:P,"*/06/2026")/(SUMIFS(R:R,P:P,"*/06/2026")+SUMIFS(S:S,P:P,"*/06/2026")+SUMIFS(T:T,P:P,"*/06/2026")),"")</f>
        <v>0.49966534042315847</v>
      </c>
      <c r="L7" s="1">
        <f>IFERROR(SUMIFS(R:R,P:P,"*/06/2026")/(SUMIFS(R:R,P:P,"*/06/2026")+SUMIFS(S:S,P:P,"*/06/2026")+SUMIFS(T:T,P:P,"*/06/2026")),"")</f>
        <v>0.31088015468709329</v>
      </c>
      <c r="M7" s="1">
        <f>IFERROR(SUMIFS(T:T,P:P,"*/06/2026")/(SUMIFS(R:R,P:P,"*/06/2026")+SUMIFS(S:S,P:P,"*/06/2026")+SUMIFS(T:T,P:P,"*/06/2026")),"")</f>
        <v>0.18945450488974827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934</v>
      </c>
      <c r="E8">
        <v>811</v>
      </c>
      <c r="F8">
        <v>404</v>
      </c>
      <c r="H8" t="s">
        <v>49</v>
      </c>
      <c r="I8" s="1">
        <v>0.81882352941176473</v>
      </c>
      <c r="J8" s="1">
        <v>0.80589473684210522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564</v>
      </c>
      <c r="E9">
        <v>1423</v>
      </c>
      <c r="F9">
        <v>161</v>
      </c>
      <c r="H9" t="s">
        <v>50</v>
      </c>
      <c r="I9" s="1">
        <v>0.81882352941176473</v>
      </c>
      <c r="J9" s="1">
        <v>0.80589473684210522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404</v>
      </c>
      <c r="S9">
        <v>1147</v>
      </c>
      <c r="T9">
        <v>596</v>
      </c>
    </row>
    <row r="10" spans="1:20" x14ac:dyDescent="0.3">
      <c r="A10">
        <v>9</v>
      </c>
      <c r="B10" t="s">
        <v>52</v>
      </c>
      <c r="C10" t="s">
        <v>34</v>
      </c>
      <c r="D10">
        <v>1117</v>
      </c>
      <c r="E10">
        <v>835</v>
      </c>
      <c r="F10">
        <v>200</v>
      </c>
      <c r="H10" t="s">
        <v>53</v>
      </c>
      <c r="I10" s="1">
        <v>0.81882352941176473</v>
      </c>
      <c r="J10" s="1">
        <v>0.80589473684210522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660</v>
      </c>
      <c r="S10">
        <v>1128</v>
      </c>
      <c r="T10">
        <v>338</v>
      </c>
    </row>
    <row r="11" spans="1:20" x14ac:dyDescent="0.3">
      <c r="A11">
        <v>10</v>
      </c>
      <c r="B11" t="s">
        <v>52</v>
      </c>
      <c r="C11" t="s">
        <v>37</v>
      </c>
      <c r="D11">
        <v>596</v>
      </c>
      <c r="E11">
        <v>1391</v>
      </c>
      <c r="F11">
        <v>164</v>
      </c>
      <c r="H11" t="s">
        <v>54</v>
      </c>
      <c r="I11" s="1">
        <v>0.81882352941176473</v>
      </c>
      <c r="J11" s="1">
        <v>0.80589473684210522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717</v>
      </c>
      <c r="S11">
        <v>836</v>
      </c>
      <c r="T11">
        <v>592</v>
      </c>
    </row>
    <row r="12" spans="1:20" x14ac:dyDescent="0.3">
      <c r="A12">
        <v>11</v>
      </c>
      <c r="B12" t="s">
        <v>56</v>
      </c>
      <c r="C12" t="s">
        <v>34</v>
      </c>
      <c r="D12">
        <v>1163</v>
      </c>
      <c r="E12">
        <v>526</v>
      </c>
      <c r="F12">
        <v>466</v>
      </c>
      <c r="H12" t="s">
        <v>57</v>
      </c>
      <c r="I12" s="1">
        <v>0.81882352941176473</v>
      </c>
      <c r="J12" s="1">
        <v>0.80589473684210522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753</v>
      </c>
      <c r="S12">
        <v>1246</v>
      </c>
      <c r="T12">
        <v>152</v>
      </c>
    </row>
    <row r="13" spans="1:20" x14ac:dyDescent="0.3">
      <c r="A13">
        <v>12</v>
      </c>
      <c r="B13" t="s">
        <v>56</v>
      </c>
      <c r="C13" t="s">
        <v>37</v>
      </c>
      <c r="D13">
        <v>504</v>
      </c>
      <c r="E13">
        <v>970</v>
      </c>
      <c r="F13">
        <v>679</v>
      </c>
      <c r="H13" t="s">
        <v>58</v>
      </c>
      <c r="I13" s="1">
        <v>0.81882352941176473</v>
      </c>
      <c r="J13" s="1">
        <v>0.80589473684210522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513</v>
      </c>
      <c r="S13">
        <v>294</v>
      </c>
      <c r="T13">
        <v>1347</v>
      </c>
    </row>
    <row r="14" spans="1:20" x14ac:dyDescent="0.3">
      <c r="A14">
        <v>13</v>
      </c>
      <c r="B14" t="s">
        <v>60</v>
      </c>
      <c r="C14" t="s">
        <v>34</v>
      </c>
      <c r="D14">
        <v>581</v>
      </c>
      <c r="E14">
        <v>664</v>
      </c>
      <c r="F14">
        <v>908</v>
      </c>
      <c r="H14" t="str">
        <f>IF(B2="","",TEXT(B2,"dd/mm")&amp; "-" &amp;IF(UPPER(TRIM(C2))="CN",1,IF(UPPER(TRIM(C2))="CD",2,"")))</f>
        <v>01/06-1</v>
      </c>
      <c r="I14" s="1">
        <v>0.81882352941176473</v>
      </c>
      <c r="J14" s="1">
        <v>0.80589473684210522</v>
      </c>
      <c r="K14" s="1">
        <f t="shared" ref="K14:K45" si="0">IFERROR($E2/SUM($D2:$F2),"")</f>
        <v>0.48072457036692984</v>
      </c>
      <c r="L14" s="1">
        <f t="shared" ref="L14:L45" si="1">IFERROR($D2/SUM($D2:$F2),"")</f>
        <v>0.23827217835578263</v>
      </c>
      <c r="M14" s="1">
        <f t="shared" ref="M14:M45" si="2">IFERROR($F2/SUM($D2:$F2),"")</f>
        <v>0.28100325127728748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2160</v>
      </c>
      <c r="H15" t="str">
        <f t="shared" ref="H15:H46" si="3">IF(B3="","",TEXT(B3,"dd/mm") &amp; "-" &amp; IF(UPPER(TRIM(C3))="CN",1,IF(UPPER(TRIM(C3))="CD",2,"")))</f>
        <v>01/06-2</v>
      </c>
      <c r="I15" s="1">
        <v>0.81882352941176473</v>
      </c>
      <c r="J15" s="1">
        <v>0.80589473684210522</v>
      </c>
      <c r="K15" s="1">
        <f t="shared" si="0"/>
        <v>0.6548837209302325</v>
      </c>
      <c r="L15" s="1">
        <f t="shared" si="1"/>
        <v>0.34511627906976744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550</v>
      </c>
      <c r="S15">
        <v>964</v>
      </c>
      <c r="T15">
        <v>631</v>
      </c>
    </row>
    <row r="16" spans="1:20" x14ac:dyDescent="0.3">
      <c r="A16">
        <v>15</v>
      </c>
      <c r="B16" t="s">
        <v>62</v>
      </c>
      <c r="C16" t="s">
        <v>34</v>
      </c>
      <c r="D16">
        <v>671</v>
      </c>
      <c r="E16">
        <v>877</v>
      </c>
      <c r="F16">
        <v>602</v>
      </c>
      <c r="H16" t="str">
        <f t="shared" si="3"/>
        <v>02/06-1</v>
      </c>
      <c r="I16" s="1">
        <v>0.81882352941176473</v>
      </c>
      <c r="J16" s="1">
        <v>0.80589473684210522</v>
      </c>
      <c r="K16" s="1">
        <f t="shared" si="0"/>
        <v>0.55338904363974006</v>
      </c>
      <c r="L16" s="1">
        <f t="shared" si="1"/>
        <v>0.44614670380687094</v>
      </c>
      <c r="M16" s="1">
        <f t="shared" si="2"/>
        <v>4.6425255338904364E-4</v>
      </c>
      <c r="O16">
        <v>15</v>
      </c>
      <c r="P16" t="s">
        <v>61</v>
      </c>
      <c r="Q16" t="s">
        <v>37</v>
      </c>
      <c r="R16">
        <v>673</v>
      </c>
      <c r="S16">
        <v>1173</v>
      </c>
      <c r="T16">
        <v>305</v>
      </c>
    </row>
    <row r="17" spans="1:20" x14ac:dyDescent="0.3">
      <c r="A17">
        <v>16</v>
      </c>
      <c r="B17" t="s">
        <v>62</v>
      </c>
      <c r="C17" t="s">
        <v>37</v>
      </c>
      <c r="D17">
        <v>737</v>
      </c>
      <c r="E17">
        <v>1416</v>
      </c>
      <c r="F17">
        <v>0</v>
      </c>
      <c r="H17" t="str">
        <f t="shared" si="3"/>
        <v>02/06-2</v>
      </c>
      <c r="I17" s="1">
        <v>0.81882352941176473</v>
      </c>
      <c r="J17" s="1">
        <v>0.80589473684210522</v>
      </c>
      <c r="K17" s="1">
        <f t="shared" si="0"/>
        <v>0.59321245932124589</v>
      </c>
      <c r="L17" s="1">
        <f t="shared" si="1"/>
        <v>0.30311483031148301</v>
      </c>
      <c r="M17" s="1">
        <f t="shared" si="2"/>
        <v>0.10367271036727103</v>
      </c>
      <c r="O17">
        <v>16</v>
      </c>
      <c r="P17" t="s">
        <v>63</v>
      </c>
      <c r="Q17" t="s">
        <v>34</v>
      </c>
      <c r="R17">
        <v>687</v>
      </c>
      <c r="S17">
        <v>1038</v>
      </c>
      <c r="T17">
        <v>416</v>
      </c>
    </row>
    <row r="18" spans="1:20" x14ac:dyDescent="0.3">
      <c r="A18">
        <v>17</v>
      </c>
      <c r="B18" t="s">
        <v>64</v>
      </c>
      <c r="C18" t="s">
        <v>34</v>
      </c>
      <c r="D18">
        <v>1075</v>
      </c>
      <c r="E18">
        <v>1075</v>
      </c>
      <c r="F18">
        <v>0</v>
      </c>
      <c r="H18" t="str">
        <f t="shared" si="3"/>
        <v>03/06-1</v>
      </c>
      <c r="I18" s="1">
        <v>0.81882352941176473</v>
      </c>
      <c r="J18" s="1">
        <v>0.80589473684210522</v>
      </c>
      <c r="K18" s="1">
        <f t="shared" si="0"/>
        <v>0.51672862453531598</v>
      </c>
      <c r="L18" s="1">
        <f t="shared" si="1"/>
        <v>0.2950743494423792</v>
      </c>
      <c r="M18" s="1">
        <f t="shared" si="2"/>
        <v>0.18819702602230484</v>
      </c>
      <c r="O18">
        <v>17</v>
      </c>
      <c r="P18" t="s">
        <v>63</v>
      </c>
      <c r="Q18" t="s">
        <v>37</v>
      </c>
      <c r="R18">
        <v>396</v>
      </c>
      <c r="S18">
        <v>1300</v>
      </c>
      <c r="T18">
        <v>459</v>
      </c>
    </row>
    <row r="19" spans="1:20" x14ac:dyDescent="0.3">
      <c r="A19">
        <v>18</v>
      </c>
      <c r="B19" t="s">
        <v>64</v>
      </c>
      <c r="C19" t="s">
        <v>37</v>
      </c>
      <c r="D19">
        <v>538</v>
      </c>
      <c r="E19">
        <v>1339</v>
      </c>
      <c r="F19">
        <v>275</v>
      </c>
      <c r="H19" t="str">
        <f t="shared" si="3"/>
        <v>03/06-2</v>
      </c>
      <c r="I19" s="1">
        <v>0.81882352941176473</v>
      </c>
      <c r="J19" s="1">
        <v>0.80589473684210522</v>
      </c>
      <c r="K19" s="1">
        <f t="shared" si="0"/>
        <v>0.59020979020979025</v>
      </c>
      <c r="L19" s="1">
        <f t="shared" si="1"/>
        <v>0.27086247086247084</v>
      </c>
      <c r="M19" s="1">
        <f t="shared" si="2"/>
        <v>0.13892773892773894</v>
      </c>
      <c r="O19">
        <v>18</v>
      </c>
      <c r="P19" t="s">
        <v>65</v>
      </c>
      <c r="Q19" t="s">
        <v>34</v>
      </c>
      <c r="R19">
        <v>524</v>
      </c>
      <c r="S19">
        <v>918</v>
      </c>
      <c r="T19">
        <v>706</v>
      </c>
    </row>
    <row r="20" spans="1:20" x14ac:dyDescent="0.3">
      <c r="A20">
        <v>19</v>
      </c>
      <c r="B20" t="s">
        <v>66</v>
      </c>
      <c r="C20" t="s">
        <v>34</v>
      </c>
      <c r="D20">
        <v>613</v>
      </c>
      <c r="E20">
        <v>1134</v>
      </c>
      <c r="F20">
        <v>404</v>
      </c>
      <c r="H20" t="str">
        <f t="shared" si="3"/>
        <v>04/06-1</v>
      </c>
      <c r="I20" s="1">
        <v>0.81882352941176473</v>
      </c>
      <c r="J20" s="1">
        <v>0.80589473684210522</v>
      </c>
      <c r="K20" s="1">
        <f t="shared" si="0"/>
        <v>0.37738483015355978</v>
      </c>
      <c r="L20" s="1">
        <f t="shared" si="1"/>
        <v>0.4346207538389949</v>
      </c>
      <c r="M20" s="1">
        <f t="shared" si="2"/>
        <v>0.18799441600744532</v>
      </c>
      <c r="O20">
        <v>19</v>
      </c>
      <c r="P20" t="s">
        <v>65</v>
      </c>
      <c r="Q20" t="s">
        <v>37</v>
      </c>
      <c r="R20">
        <v>2</v>
      </c>
      <c r="S20">
        <v>0</v>
      </c>
      <c r="T20">
        <v>2157</v>
      </c>
    </row>
    <row r="21" spans="1:20" x14ac:dyDescent="0.3">
      <c r="A21">
        <v>20</v>
      </c>
      <c r="B21" t="s">
        <v>66</v>
      </c>
      <c r="C21" t="s">
        <v>37</v>
      </c>
      <c r="D21">
        <v>645</v>
      </c>
      <c r="E21">
        <v>1219</v>
      </c>
      <c r="F21">
        <v>285</v>
      </c>
      <c r="H21" t="str">
        <f t="shared" si="3"/>
        <v>04/06-2</v>
      </c>
      <c r="I21" s="1">
        <v>0.81882352941176473</v>
      </c>
      <c r="J21" s="1">
        <v>0.80589473684210522</v>
      </c>
      <c r="K21" s="1">
        <f t="shared" si="0"/>
        <v>0.66247672253258849</v>
      </c>
      <c r="L21" s="1">
        <f t="shared" si="1"/>
        <v>0.26256983240223464</v>
      </c>
      <c r="M21" s="1">
        <f t="shared" si="2"/>
        <v>7.4953445065176913E-2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A22">
        <v>21</v>
      </c>
      <c r="B22" t="s">
        <v>68</v>
      </c>
      <c r="C22" t="s">
        <v>34</v>
      </c>
      <c r="D22">
        <v>664</v>
      </c>
      <c r="E22">
        <v>1086</v>
      </c>
      <c r="F22">
        <v>399</v>
      </c>
      <c r="H22" t="str">
        <f t="shared" si="3"/>
        <v>05/06-1</v>
      </c>
      <c r="I22" s="1">
        <v>0.81882352941176473</v>
      </c>
      <c r="J22" s="1">
        <v>0.80589473684210522</v>
      </c>
      <c r="K22" s="1">
        <f t="shared" si="0"/>
        <v>0.38801115241635686</v>
      </c>
      <c r="L22" s="1">
        <f t="shared" si="1"/>
        <v>0.51905204460966547</v>
      </c>
      <c r="M22" s="1">
        <f t="shared" si="2"/>
        <v>9.2936802973977689E-2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2160</v>
      </c>
    </row>
    <row r="23" spans="1:20" x14ac:dyDescent="0.3">
      <c r="A23">
        <v>22</v>
      </c>
      <c r="B23" t="s">
        <v>68</v>
      </c>
      <c r="C23" t="s">
        <v>37</v>
      </c>
      <c r="D23">
        <v>562</v>
      </c>
      <c r="E23">
        <v>1294</v>
      </c>
      <c r="F23">
        <v>295</v>
      </c>
      <c r="H23" t="str">
        <f t="shared" si="3"/>
        <v>05/06-2</v>
      </c>
      <c r="I23" s="1">
        <v>0.81882352941176473</v>
      </c>
      <c r="J23" s="1">
        <v>0.80589473684210522</v>
      </c>
      <c r="K23" s="1">
        <f t="shared" si="0"/>
        <v>0.64667596466759647</v>
      </c>
      <c r="L23" s="1">
        <f t="shared" si="1"/>
        <v>0.27708042770804275</v>
      </c>
      <c r="M23" s="1">
        <f t="shared" si="2"/>
        <v>7.6243607624360762E-2</v>
      </c>
      <c r="O23">
        <v>22</v>
      </c>
      <c r="P23" t="s">
        <v>69</v>
      </c>
      <c r="Q23" t="s">
        <v>34</v>
      </c>
      <c r="R23">
        <v>585</v>
      </c>
      <c r="S23">
        <v>947</v>
      </c>
      <c r="T23">
        <v>617</v>
      </c>
    </row>
    <row r="24" spans="1:20" x14ac:dyDescent="0.3">
      <c r="A24">
        <v>23</v>
      </c>
      <c r="B24" t="s">
        <v>70</v>
      </c>
      <c r="C24" t="s">
        <v>34</v>
      </c>
      <c r="D24">
        <v>581</v>
      </c>
      <c r="E24">
        <v>1160</v>
      </c>
      <c r="F24">
        <v>411</v>
      </c>
      <c r="H24" t="str">
        <f t="shared" si="3"/>
        <v>06/06-1</v>
      </c>
      <c r="I24" s="1">
        <v>0.81882352941176473</v>
      </c>
      <c r="J24" s="1">
        <v>0.80589473684210522</v>
      </c>
      <c r="K24" s="1">
        <f t="shared" si="0"/>
        <v>0.24408352668213457</v>
      </c>
      <c r="L24" s="1">
        <f t="shared" si="1"/>
        <v>0.53967517401392107</v>
      </c>
      <c r="M24" s="1">
        <f t="shared" si="2"/>
        <v>0.21624129930394431</v>
      </c>
      <c r="O24">
        <v>23</v>
      </c>
      <c r="P24" t="s">
        <v>69</v>
      </c>
      <c r="Q24" t="s">
        <v>37</v>
      </c>
      <c r="R24">
        <v>636</v>
      </c>
      <c r="S24">
        <v>1061</v>
      </c>
      <c r="T24">
        <v>446</v>
      </c>
    </row>
    <row r="25" spans="1:20" x14ac:dyDescent="0.3">
      <c r="A25">
        <v>24</v>
      </c>
      <c r="B25" t="s">
        <v>70</v>
      </c>
      <c r="C25" t="s">
        <v>37</v>
      </c>
      <c r="D25">
        <v>421</v>
      </c>
      <c r="E25">
        <v>1344</v>
      </c>
      <c r="F25">
        <v>387</v>
      </c>
      <c r="H25" t="str">
        <f t="shared" si="3"/>
        <v>06/06-2</v>
      </c>
      <c r="I25" s="1">
        <v>0.81882352941176473</v>
      </c>
      <c r="J25" s="1">
        <v>0.80589473684210522</v>
      </c>
      <c r="K25" s="1">
        <f t="shared" si="0"/>
        <v>0.45053413841151879</v>
      </c>
      <c r="L25" s="1">
        <f t="shared" si="1"/>
        <v>0.23409196470041801</v>
      </c>
      <c r="M25" s="1">
        <f t="shared" si="2"/>
        <v>0.31537389688806317</v>
      </c>
      <c r="O25">
        <v>24</v>
      </c>
      <c r="P25" t="s">
        <v>71</v>
      </c>
      <c r="Q25" t="s">
        <v>34</v>
      </c>
      <c r="R25">
        <v>518</v>
      </c>
      <c r="S25">
        <v>1012</v>
      </c>
      <c r="T25">
        <v>618</v>
      </c>
    </row>
    <row r="26" spans="1:20" x14ac:dyDescent="0.3">
      <c r="A26">
        <v>25</v>
      </c>
      <c r="B26" t="s">
        <v>72</v>
      </c>
      <c r="C26" t="s">
        <v>34</v>
      </c>
      <c r="D26">
        <v>671</v>
      </c>
      <c r="E26">
        <v>1022</v>
      </c>
      <c r="F26">
        <v>458</v>
      </c>
      <c r="H26" t="str">
        <f t="shared" si="3"/>
        <v>07/06-1</v>
      </c>
      <c r="I26" s="1">
        <v>0.81882352941176473</v>
      </c>
      <c r="J26" s="1">
        <v>0.80589473684210522</v>
      </c>
      <c r="K26" s="1">
        <f t="shared" si="0"/>
        <v>0.30840687412912215</v>
      </c>
      <c r="L26" s="1">
        <f t="shared" si="1"/>
        <v>0.26985601486298189</v>
      </c>
      <c r="M26" s="1">
        <f t="shared" si="2"/>
        <v>0.42173711100789596</v>
      </c>
      <c r="O26">
        <v>25</v>
      </c>
      <c r="P26" t="s">
        <v>71</v>
      </c>
      <c r="Q26" t="s">
        <v>37</v>
      </c>
      <c r="R26">
        <v>602</v>
      </c>
      <c r="S26">
        <v>1392</v>
      </c>
      <c r="T26">
        <v>152</v>
      </c>
    </row>
    <row r="27" spans="1:20" x14ac:dyDescent="0.3">
      <c r="H27" t="str">
        <f t="shared" si="3"/>
        <v>07/06-2</v>
      </c>
      <c r="I27" s="1">
        <v>0.81882352941176473</v>
      </c>
      <c r="J27" s="1">
        <v>0.80589473684210522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970</v>
      </c>
      <c r="S27">
        <v>967</v>
      </c>
      <c r="T27">
        <v>213</v>
      </c>
    </row>
    <row r="28" spans="1:20" x14ac:dyDescent="0.3">
      <c r="H28" t="str">
        <f t="shared" si="3"/>
        <v>08/06-1</v>
      </c>
      <c r="I28" s="1">
        <v>0.81882352941176473</v>
      </c>
      <c r="J28" s="1">
        <v>0.80589473684210522</v>
      </c>
      <c r="K28" s="1">
        <f t="shared" si="0"/>
        <v>0.40790697674418602</v>
      </c>
      <c r="L28" s="1">
        <f t="shared" si="1"/>
        <v>0.31209302325581395</v>
      </c>
      <c r="M28" s="1">
        <f t="shared" si="2"/>
        <v>0.28000000000000003</v>
      </c>
      <c r="O28">
        <v>27</v>
      </c>
      <c r="P28" t="s">
        <v>73</v>
      </c>
      <c r="Q28" t="s">
        <v>37</v>
      </c>
      <c r="R28">
        <v>677</v>
      </c>
      <c r="S28">
        <v>1162</v>
      </c>
      <c r="T28">
        <v>302</v>
      </c>
    </row>
    <row r="29" spans="1:20" x14ac:dyDescent="0.3">
      <c r="H29" t="str">
        <f t="shared" si="3"/>
        <v>08/06-2</v>
      </c>
      <c r="I29" s="1">
        <v>0.81882352941176473</v>
      </c>
      <c r="J29" s="1">
        <v>0.80589473684210522</v>
      </c>
      <c r="K29" s="1">
        <f t="shared" si="0"/>
        <v>0.65768694844403164</v>
      </c>
      <c r="L29" s="1">
        <f t="shared" si="1"/>
        <v>0.34231305155596842</v>
      </c>
      <c r="M29" s="1">
        <f t="shared" si="2"/>
        <v>0</v>
      </c>
      <c r="O29">
        <v>28</v>
      </c>
      <c r="P29" t="s">
        <v>74</v>
      </c>
      <c r="Q29" t="s">
        <v>34</v>
      </c>
      <c r="R29">
        <v>912</v>
      </c>
      <c r="S29">
        <v>827</v>
      </c>
      <c r="T29">
        <v>413</v>
      </c>
    </row>
    <row r="30" spans="1:20" x14ac:dyDescent="0.3">
      <c r="H30" t="str">
        <f t="shared" si="3"/>
        <v>09/06-1</v>
      </c>
      <c r="I30" s="1">
        <v>0.81882352941176473</v>
      </c>
      <c r="J30" s="1">
        <v>0.80589473684210522</v>
      </c>
      <c r="K30" s="1">
        <f t="shared" si="0"/>
        <v>0.5</v>
      </c>
      <c r="L30" s="1">
        <f t="shared" si="1"/>
        <v>0.5</v>
      </c>
      <c r="M30" s="1">
        <f t="shared" si="2"/>
        <v>0</v>
      </c>
      <c r="O30">
        <v>29</v>
      </c>
      <c r="P30" t="s">
        <v>74</v>
      </c>
      <c r="Q30" t="s">
        <v>37</v>
      </c>
      <c r="R30">
        <v>755</v>
      </c>
      <c r="S30">
        <v>1387</v>
      </c>
      <c r="T30">
        <v>0</v>
      </c>
    </row>
    <row r="31" spans="1:20" x14ac:dyDescent="0.3">
      <c r="H31" t="str">
        <f t="shared" si="3"/>
        <v>09/06-2</v>
      </c>
      <c r="I31" s="1">
        <v>0.81882352941176473</v>
      </c>
      <c r="J31" s="1">
        <v>0.80589473684210522</v>
      </c>
      <c r="K31" s="1">
        <f t="shared" si="0"/>
        <v>0.62221189591078063</v>
      </c>
      <c r="L31" s="1">
        <f t="shared" si="1"/>
        <v>0.25</v>
      </c>
      <c r="M31" s="1">
        <f t="shared" si="2"/>
        <v>0.12778810408921934</v>
      </c>
      <c r="O31">
        <v>30</v>
      </c>
      <c r="P31" t="s">
        <v>75</v>
      </c>
      <c r="Q31" t="s">
        <v>34</v>
      </c>
      <c r="R31">
        <v>1141</v>
      </c>
      <c r="S31">
        <v>1010</v>
      </c>
      <c r="T31">
        <v>0</v>
      </c>
    </row>
    <row r="32" spans="1:20" x14ac:dyDescent="0.3">
      <c r="H32" t="str">
        <f t="shared" si="3"/>
        <v>10/06-1</v>
      </c>
      <c r="I32" s="1">
        <v>0.81882352941176473</v>
      </c>
      <c r="J32" s="1">
        <v>0.80589473684210522</v>
      </c>
      <c r="K32" s="1">
        <f t="shared" si="0"/>
        <v>0.52719665271966532</v>
      </c>
      <c r="L32" s="1">
        <f t="shared" si="1"/>
        <v>0.28498372849837283</v>
      </c>
      <c r="M32" s="1">
        <f t="shared" si="2"/>
        <v>0.18781961878196188</v>
      </c>
      <c r="O32">
        <v>31</v>
      </c>
      <c r="P32" t="s">
        <v>75</v>
      </c>
      <c r="Q32" t="s">
        <v>37</v>
      </c>
      <c r="R32">
        <v>876</v>
      </c>
      <c r="S32">
        <v>1059</v>
      </c>
      <c r="T32">
        <v>211</v>
      </c>
    </row>
    <row r="33" spans="8:20" x14ac:dyDescent="0.3">
      <c r="H33" t="str">
        <f t="shared" si="3"/>
        <v>10/06-2</v>
      </c>
      <c r="I33" s="1">
        <v>0.81882352941176473</v>
      </c>
      <c r="J33" s="1">
        <v>0.80589473684210522</v>
      </c>
      <c r="K33" s="1">
        <f t="shared" si="0"/>
        <v>0.56724057701256403</v>
      </c>
      <c r="L33" s="1">
        <f t="shared" si="1"/>
        <v>0.3001395998138669</v>
      </c>
      <c r="M33" s="1">
        <f t="shared" si="2"/>
        <v>0.1326198231735691</v>
      </c>
      <c r="O33">
        <v>32</v>
      </c>
      <c r="P33" t="s">
        <v>76</v>
      </c>
      <c r="Q33" t="s">
        <v>34</v>
      </c>
      <c r="R33">
        <v>1066</v>
      </c>
      <c r="S33">
        <v>868</v>
      </c>
      <c r="T33">
        <v>215</v>
      </c>
    </row>
    <row r="34" spans="8:20" x14ac:dyDescent="0.3">
      <c r="H34" t="str">
        <f t="shared" si="3"/>
        <v>11/06-1</v>
      </c>
      <c r="I34" s="1">
        <v>0.81882352941176473</v>
      </c>
      <c r="J34" s="1">
        <v>0.80589473684210522</v>
      </c>
      <c r="K34" s="1">
        <f t="shared" si="0"/>
        <v>0.50535132619823175</v>
      </c>
      <c r="L34" s="1">
        <f t="shared" si="1"/>
        <v>0.30898092135877153</v>
      </c>
      <c r="M34" s="1">
        <f t="shared" si="2"/>
        <v>0.18566775244299674</v>
      </c>
      <c r="O34">
        <v>33</v>
      </c>
      <c r="P34" t="s">
        <v>76</v>
      </c>
      <c r="Q34" t="s">
        <v>37</v>
      </c>
      <c r="R34">
        <v>785</v>
      </c>
      <c r="S34">
        <v>1123</v>
      </c>
      <c r="T34">
        <v>241</v>
      </c>
    </row>
    <row r="35" spans="8:20" x14ac:dyDescent="0.3">
      <c r="H35" t="str">
        <f t="shared" si="3"/>
        <v>11/06-2</v>
      </c>
      <c r="I35" s="1">
        <v>0.81882352941176473</v>
      </c>
      <c r="J35" s="1">
        <v>0.80589473684210522</v>
      </c>
      <c r="K35" s="1">
        <f t="shared" si="0"/>
        <v>0.60158066015806599</v>
      </c>
      <c r="L35" s="1">
        <f t="shared" si="1"/>
        <v>0.26127382612738259</v>
      </c>
      <c r="M35" s="1">
        <f t="shared" si="2"/>
        <v>0.13714551371455136</v>
      </c>
      <c r="O35">
        <v>34</v>
      </c>
      <c r="P35" t="s">
        <v>77</v>
      </c>
      <c r="Q35" t="s">
        <v>34</v>
      </c>
      <c r="R35">
        <v>979</v>
      </c>
      <c r="S35">
        <v>848</v>
      </c>
      <c r="T35">
        <v>327</v>
      </c>
    </row>
    <row r="36" spans="8:20" x14ac:dyDescent="0.3">
      <c r="H36" t="str">
        <f t="shared" si="3"/>
        <v>12/06-1</v>
      </c>
      <c r="I36" s="1">
        <v>0.81882352941176473</v>
      </c>
      <c r="J36" s="1">
        <v>0.80589473684210522</v>
      </c>
      <c r="K36" s="1">
        <f t="shared" si="0"/>
        <v>0.53903345724907059</v>
      </c>
      <c r="L36" s="1">
        <f t="shared" si="1"/>
        <v>0.26998141263940523</v>
      </c>
      <c r="M36" s="1">
        <f t="shared" si="2"/>
        <v>0.19098513011152415</v>
      </c>
      <c r="O36">
        <v>35</v>
      </c>
      <c r="P36" t="s">
        <v>77</v>
      </c>
      <c r="Q36" t="s">
        <v>37</v>
      </c>
      <c r="R36">
        <v>76</v>
      </c>
      <c r="S36">
        <v>161</v>
      </c>
      <c r="T36">
        <v>1920</v>
      </c>
    </row>
    <row r="37" spans="8:20" x14ac:dyDescent="0.3">
      <c r="H37" t="str">
        <f t="shared" si="3"/>
        <v>12/06-2</v>
      </c>
      <c r="I37" s="1">
        <v>0.81882352941176473</v>
      </c>
      <c r="J37" s="1">
        <v>0.80589473684210522</v>
      </c>
      <c r="K37" s="1">
        <f t="shared" si="0"/>
        <v>0.62453531598513012</v>
      </c>
      <c r="L37" s="1">
        <f t="shared" si="1"/>
        <v>0.19563197026022305</v>
      </c>
      <c r="M37" s="1">
        <f t="shared" si="2"/>
        <v>0.17983271375464685</v>
      </c>
      <c r="O37">
        <v>36</v>
      </c>
      <c r="P37" t="s">
        <v>78</v>
      </c>
      <c r="Q37" t="s">
        <v>34</v>
      </c>
      <c r="R37">
        <v>445</v>
      </c>
      <c r="S37">
        <v>1088</v>
      </c>
      <c r="T37">
        <v>612</v>
      </c>
    </row>
    <row r="38" spans="8:20" x14ac:dyDescent="0.3">
      <c r="H38" t="str">
        <f t="shared" si="3"/>
        <v>13/06-1</v>
      </c>
      <c r="I38" s="1">
        <v>0.81882352941176473</v>
      </c>
      <c r="J38" s="1">
        <v>0.80589473684210522</v>
      </c>
      <c r="K38" s="1">
        <f t="shared" si="0"/>
        <v>0.47512784751278475</v>
      </c>
      <c r="L38" s="1">
        <f t="shared" si="1"/>
        <v>0.31194793119479314</v>
      </c>
      <c r="M38" s="1">
        <f t="shared" si="2"/>
        <v>0.21292422129242214</v>
      </c>
      <c r="O38">
        <v>37</v>
      </c>
      <c r="P38" t="s">
        <v>78</v>
      </c>
      <c r="Q38" t="s">
        <v>37</v>
      </c>
      <c r="R38">
        <v>600</v>
      </c>
      <c r="S38">
        <v>1249</v>
      </c>
      <c r="T38">
        <v>299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663</v>
      </c>
      <c r="S39">
        <v>1072</v>
      </c>
      <c r="T39">
        <v>412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927</v>
      </c>
      <c r="S40">
        <v>1012</v>
      </c>
      <c r="T40">
        <v>214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909</v>
      </c>
      <c r="S41">
        <v>1034</v>
      </c>
      <c r="T41">
        <v>204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752</v>
      </c>
      <c r="S42">
        <v>1095</v>
      </c>
      <c r="T42">
        <v>302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765</v>
      </c>
      <c r="S43">
        <v>967</v>
      </c>
      <c r="T43">
        <v>413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704</v>
      </c>
      <c r="S44">
        <v>1141</v>
      </c>
      <c r="T44">
        <v>305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699</v>
      </c>
      <c r="S45">
        <v>1027</v>
      </c>
      <c r="T45">
        <v>416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789</v>
      </c>
      <c r="S46">
        <v>1210</v>
      </c>
      <c r="T46">
        <v>151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875</v>
      </c>
      <c r="S47">
        <v>799</v>
      </c>
      <c r="T47">
        <v>478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1072</v>
      </c>
      <c r="S48">
        <v>1081</v>
      </c>
      <c r="T48">
        <v>1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969</v>
      </c>
      <c r="S49">
        <v>828</v>
      </c>
      <c r="T49">
        <v>355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1</v>
      </c>
      <c r="S50">
        <v>0</v>
      </c>
      <c r="T50">
        <v>2159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539</v>
      </c>
      <c r="S51">
        <v>856</v>
      </c>
      <c r="T51">
        <v>758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664</v>
      </c>
      <c r="S52">
        <v>1186</v>
      </c>
      <c r="T52">
        <v>297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533</v>
      </c>
      <c r="S53">
        <v>1198</v>
      </c>
      <c r="T53">
        <v>423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502</v>
      </c>
      <c r="S54">
        <v>1652</v>
      </c>
      <c r="T54">
        <v>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927</v>
      </c>
      <c r="S55">
        <v>1227</v>
      </c>
      <c r="T55">
        <v>0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411</v>
      </c>
      <c r="S56">
        <v>1430</v>
      </c>
      <c r="T56">
        <v>304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686</v>
      </c>
      <c r="S57">
        <v>1051</v>
      </c>
      <c r="T57">
        <v>412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583</v>
      </c>
      <c r="S58">
        <v>1250</v>
      </c>
      <c r="T58">
        <v>305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746</v>
      </c>
      <c r="S59">
        <v>989</v>
      </c>
      <c r="T59">
        <v>416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452</v>
      </c>
      <c r="S60">
        <v>1387</v>
      </c>
      <c r="T60">
        <v>303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654</v>
      </c>
      <c r="S61">
        <v>1025</v>
      </c>
      <c r="T61">
        <v>474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334</v>
      </c>
      <c r="S62">
        <v>1091</v>
      </c>
      <c r="T62">
        <v>722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469</v>
      </c>
      <c r="S65">
        <v>1061</v>
      </c>
      <c r="T65">
        <v>612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775</v>
      </c>
      <c r="S66">
        <v>1377</v>
      </c>
      <c r="T66">
        <v>0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1056</v>
      </c>
      <c r="S67">
        <v>1092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546</v>
      </c>
      <c r="S68">
        <v>1299</v>
      </c>
      <c r="T68">
        <v>306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643</v>
      </c>
      <c r="S69">
        <v>1091</v>
      </c>
      <c r="T69">
        <v>411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553</v>
      </c>
      <c r="S70">
        <v>1292</v>
      </c>
      <c r="T70">
        <v>306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746</v>
      </c>
      <c r="S71">
        <v>988</v>
      </c>
      <c r="T71">
        <v>407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685</v>
      </c>
      <c r="S72">
        <v>1313</v>
      </c>
      <c r="T72">
        <v>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833</v>
      </c>
      <c r="S73">
        <v>1109</v>
      </c>
      <c r="T73">
        <v>204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530</v>
      </c>
      <c r="S74">
        <v>1620</v>
      </c>
      <c r="T74">
        <v>5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1004</v>
      </c>
      <c r="S75">
        <v>1147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686</v>
      </c>
      <c r="S76">
        <v>1226</v>
      </c>
      <c r="T76">
        <v>242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765</v>
      </c>
      <c r="S77">
        <v>1145</v>
      </c>
      <c r="T77">
        <v>239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1</v>
      </c>
      <c r="S78">
        <v>4</v>
      </c>
      <c r="T78">
        <v>2155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573</v>
      </c>
      <c r="S79">
        <v>962</v>
      </c>
      <c r="T79">
        <v>614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631</v>
      </c>
      <c r="S80">
        <v>1352</v>
      </c>
      <c r="T80">
        <v>166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782</v>
      </c>
      <c r="S81">
        <v>1154</v>
      </c>
      <c r="T81">
        <v>218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548</v>
      </c>
      <c r="S82">
        <v>1295</v>
      </c>
      <c r="T82">
        <v>305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524</v>
      </c>
      <c r="S83">
        <v>949</v>
      </c>
      <c r="T83">
        <v>684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582</v>
      </c>
      <c r="S84">
        <v>1259</v>
      </c>
      <c r="T84">
        <v>304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719</v>
      </c>
      <c r="S85">
        <v>770</v>
      </c>
      <c r="T85">
        <v>663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534</v>
      </c>
      <c r="S86">
        <v>1458</v>
      </c>
      <c r="T86">
        <v>155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791</v>
      </c>
      <c r="S87">
        <v>1107</v>
      </c>
      <c r="T87">
        <v>253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476</v>
      </c>
      <c r="S88">
        <v>948</v>
      </c>
      <c r="T88">
        <v>728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2160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113</v>
      </c>
      <c r="Q107" t="s">
        <v>34</v>
      </c>
      <c r="R107">
        <v>500</v>
      </c>
      <c r="S107">
        <v>1018</v>
      </c>
      <c r="T107">
        <v>633</v>
      </c>
    </row>
    <row r="108" spans="9:20" x14ac:dyDescent="0.3">
      <c r="O108">
        <v>107</v>
      </c>
      <c r="P108" t="s">
        <v>113</v>
      </c>
      <c r="Q108" t="s">
        <v>37</v>
      </c>
      <c r="R108">
        <v>502</v>
      </c>
      <c r="S108">
        <v>1331</v>
      </c>
      <c r="T108">
        <v>308</v>
      </c>
    </row>
    <row r="109" spans="9:20" x14ac:dyDescent="0.3">
      <c r="O109">
        <v>108</v>
      </c>
      <c r="P109" t="s">
        <v>114</v>
      </c>
      <c r="Q109" t="s">
        <v>34</v>
      </c>
      <c r="R109">
        <v>745</v>
      </c>
      <c r="S109">
        <v>992</v>
      </c>
      <c r="T109">
        <v>411</v>
      </c>
    </row>
    <row r="110" spans="9:20" x14ac:dyDescent="0.3">
      <c r="O110">
        <v>109</v>
      </c>
      <c r="P110" t="s">
        <v>114</v>
      </c>
      <c r="Q110" t="s">
        <v>37</v>
      </c>
      <c r="R110">
        <v>315</v>
      </c>
      <c r="S110">
        <v>1678</v>
      </c>
      <c r="T110">
        <v>154</v>
      </c>
    </row>
    <row r="111" spans="9:20" x14ac:dyDescent="0.3">
      <c r="O111">
        <v>110</v>
      </c>
      <c r="P111" t="s">
        <v>115</v>
      </c>
      <c r="Q111" t="s">
        <v>34</v>
      </c>
      <c r="R111">
        <v>685</v>
      </c>
      <c r="S111">
        <v>1258</v>
      </c>
      <c r="T111">
        <v>208</v>
      </c>
    </row>
    <row r="112" spans="9:20" x14ac:dyDescent="0.3">
      <c r="O112">
        <v>111</v>
      </c>
      <c r="P112" t="s">
        <v>115</v>
      </c>
      <c r="Q112" t="s">
        <v>37</v>
      </c>
      <c r="R112">
        <v>433</v>
      </c>
      <c r="S112">
        <v>1553</v>
      </c>
      <c r="T112">
        <v>160</v>
      </c>
    </row>
    <row r="113" spans="15:20" x14ac:dyDescent="0.3">
      <c r="O113">
        <v>112</v>
      </c>
      <c r="P113" t="s">
        <v>116</v>
      </c>
      <c r="Q113" t="s">
        <v>34</v>
      </c>
      <c r="R113">
        <v>618</v>
      </c>
      <c r="S113">
        <v>1275</v>
      </c>
      <c r="T113">
        <v>255</v>
      </c>
    </row>
    <row r="114" spans="15:20" x14ac:dyDescent="0.3">
      <c r="O114">
        <v>113</v>
      </c>
      <c r="P114" t="s">
        <v>116</v>
      </c>
      <c r="Q114" t="s">
        <v>37</v>
      </c>
      <c r="R114">
        <v>627</v>
      </c>
      <c r="S114">
        <v>1360</v>
      </c>
      <c r="T114">
        <v>153</v>
      </c>
    </row>
    <row r="115" spans="15:20" x14ac:dyDescent="0.3">
      <c r="O115">
        <v>114</v>
      </c>
      <c r="P115" t="s">
        <v>117</v>
      </c>
      <c r="Q115" t="s">
        <v>34</v>
      </c>
      <c r="R115">
        <v>563</v>
      </c>
      <c r="S115">
        <v>1375</v>
      </c>
      <c r="T115">
        <v>214</v>
      </c>
    </row>
    <row r="116" spans="15:20" x14ac:dyDescent="0.3">
      <c r="O116">
        <v>115</v>
      </c>
      <c r="P116" t="s">
        <v>117</v>
      </c>
      <c r="Q116" t="s">
        <v>37</v>
      </c>
      <c r="R116">
        <v>628</v>
      </c>
      <c r="S116">
        <v>1302</v>
      </c>
      <c r="T116">
        <v>214</v>
      </c>
    </row>
    <row r="117" spans="15:20" x14ac:dyDescent="0.3">
      <c r="O117">
        <v>116</v>
      </c>
      <c r="P117" t="s">
        <v>118</v>
      </c>
      <c r="Q117" t="s">
        <v>34</v>
      </c>
      <c r="R117">
        <v>821</v>
      </c>
      <c r="S117">
        <v>1097</v>
      </c>
      <c r="T117">
        <v>237</v>
      </c>
    </row>
    <row r="118" spans="15:20" x14ac:dyDescent="0.3">
      <c r="O118">
        <v>117</v>
      </c>
      <c r="P118" t="s">
        <v>118</v>
      </c>
      <c r="Q118" t="s">
        <v>37</v>
      </c>
      <c r="R118">
        <v>415</v>
      </c>
      <c r="S118">
        <v>1017</v>
      </c>
      <c r="T118">
        <v>714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1731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2160</v>
      </c>
    </row>
    <row r="121" spans="15:20" x14ac:dyDescent="0.3">
      <c r="O121">
        <v>120</v>
      </c>
      <c r="P121" t="s">
        <v>120</v>
      </c>
      <c r="Q121" t="s">
        <v>34</v>
      </c>
      <c r="R121">
        <v>755</v>
      </c>
      <c r="S121">
        <v>788</v>
      </c>
      <c r="T121">
        <v>603</v>
      </c>
    </row>
    <row r="122" spans="15:20" x14ac:dyDescent="0.3">
      <c r="O122">
        <v>121</v>
      </c>
      <c r="P122" t="s">
        <v>120</v>
      </c>
      <c r="Q122" t="s">
        <v>37</v>
      </c>
      <c r="R122">
        <v>782</v>
      </c>
      <c r="S122">
        <v>1212</v>
      </c>
      <c r="T122">
        <v>154</v>
      </c>
    </row>
    <row r="123" spans="15:20" x14ac:dyDescent="0.3">
      <c r="O123">
        <v>122</v>
      </c>
      <c r="P123" t="s">
        <v>121</v>
      </c>
      <c r="Q123" t="s">
        <v>34</v>
      </c>
      <c r="R123">
        <v>757</v>
      </c>
      <c r="S123">
        <v>1185</v>
      </c>
      <c r="T123">
        <v>207</v>
      </c>
    </row>
    <row r="124" spans="15:20" x14ac:dyDescent="0.3">
      <c r="O124">
        <v>123</v>
      </c>
      <c r="P124" t="s">
        <v>121</v>
      </c>
      <c r="Q124" t="s">
        <v>37</v>
      </c>
      <c r="R124">
        <v>797</v>
      </c>
      <c r="S124">
        <v>1199</v>
      </c>
      <c r="T124">
        <v>154</v>
      </c>
    </row>
    <row r="125" spans="15:20" x14ac:dyDescent="0.3">
      <c r="O125">
        <v>124</v>
      </c>
      <c r="P125" t="s">
        <v>122</v>
      </c>
      <c r="Q125" t="s">
        <v>34</v>
      </c>
      <c r="R125">
        <v>901</v>
      </c>
      <c r="S125">
        <v>1039</v>
      </c>
      <c r="T125">
        <v>206</v>
      </c>
    </row>
    <row r="126" spans="15:20" x14ac:dyDescent="0.3">
      <c r="O126">
        <v>125</v>
      </c>
      <c r="P126" t="s">
        <v>122</v>
      </c>
      <c r="Q126" t="s">
        <v>37</v>
      </c>
      <c r="R126">
        <v>653</v>
      </c>
      <c r="S126">
        <v>1359</v>
      </c>
      <c r="T126">
        <v>141</v>
      </c>
    </row>
    <row r="127" spans="15:20" x14ac:dyDescent="0.3">
      <c r="O127">
        <v>126</v>
      </c>
      <c r="P127" t="s">
        <v>123</v>
      </c>
      <c r="Q127" t="s">
        <v>34</v>
      </c>
      <c r="R127">
        <v>853</v>
      </c>
      <c r="S127">
        <v>1089</v>
      </c>
      <c r="T127">
        <v>208</v>
      </c>
    </row>
    <row r="128" spans="15:20" x14ac:dyDescent="0.3">
      <c r="O128">
        <v>127</v>
      </c>
      <c r="P128" t="s">
        <v>123</v>
      </c>
      <c r="Q128" t="s">
        <v>37</v>
      </c>
      <c r="R128">
        <v>739</v>
      </c>
      <c r="S128">
        <v>1255</v>
      </c>
      <c r="T128">
        <v>157</v>
      </c>
    </row>
    <row r="129" spans="15:20" x14ac:dyDescent="0.3">
      <c r="O129">
        <v>128</v>
      </c>
      <c r="P129" t="s">
        <v>124</v>
      </c>
      <c r="Q129" t="s">
        <v>34</v>
      </c>
      <c r="R129">
        <v>779</v>
      </c>
      <c r="S129">
        <v>1163</v>
      </c>
      <c r="T129">
        <v>205</v>
      </c>
    </row>
    <row r="130" spans="15:20" x14ac:dyDescent="0.3">
      <c r="O130">
        <v>129</v>
      </c>
      <c r="P130" t="s">
        <v>124</v>
      </c>
      <c r="Q130" t="s">
        <v>37</v>
      </c>
      <c r="R130">
        <v>481</v>
      </c>
      <c r="S130">
        <v>1520</v>
      </c>
      <c r="T130">
        <v>154</v>
      </c>
    </row>
    <row r="131" spans="15:20" x14ac:dyDescent="0.3">
      <c r="O131">
        <v>130</v>
      </c>
      <c r="P131" t="s">
        <v>125</v>
      </c>
      <c r="Q131" t="s">
        <v>34</v>
      </c>
      <c r="R131">
        <v>850</v>
      </c>
      <c r="S131">
        <v>1065</v>
      </c>
      <c r="T131">
        <v>237</v>
      </c>
    </row>
    <row r="132" spans="15:20" x14ac:dyDescent="0.3">
      <c r="O132">
        <v>131</v>
      </c>
      <c r="P132" t="s">
        <v>125</v>
      </c>
      <c r="Q132" t="s">
        <v>37</v>
      </c>
      <c r="R132">
        <v>781</v>
      </c>
      <c r="S132">
        <v>1128</v>
      </c>
      <c r="T132">
        <v>244</v>
      </c>
    </row>
    <row r="133" spans="15:20" x14ac:dyDescent="0.3">
      <c r="O133">
        <v>132</v>
      </c>
      <c r="P133" t="s">
        <v>126</v>
      </c>
      <c r="Q133" t="s">
        <v>34</v>
      </c>
      <c r="R133">
        <v>1009</v>
      </c>
      <c r="S133">
        <v>900</v>
      </c>
      <c r="T133">
        <v>241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2160</v>
      </c>
    </row>
    <row r="135" spans="15:20" x14ac:dyDescent="0.3">
      <c r="O135">
        <v>134</v>
      </c>
      <c r="P135" t="s">
        <v>127</v>
      </c>
      <c r="Q135" t="s">
        <v>34</v>
      </c>
      <c r="R135">
        <v>556</v>
      </c>
      <c r="S135">
        <v>974</v>
      </c>
      <c r="T135">
        <v>623</v>
      </c>
    </row>
    <row r="136" spans="15:20" x14ac:dyDescent="0.3">
      <c r="O136">
        <v>135</v>
      </c>
      <c r="P136" t="s">
        <v>127</v>
      </c>
      <c r="Q136" t="s">
        <v>37</v>
      </c>
      <c r="R136">
        <v>838</v>
      </c>
      <c r="S136">
        <v>1003</v>
      </c>
      <c r="T136">
        <v>302</v>
      </c>
    </row>
    <row r="137" spans="15:20" x14ac:dyDescent="0.3">
      <c r="O137">
        <v>136</v>
      </c>
      <c r="P137" t="s">
        <v>128</v>
      </c>
      <c r="Q137" t="s">
        <v>34</v>
      </c>
      <c r="R137">
        <v>847</v>
      </c>
      <c r="S137">
        <v>869</v>
      </c>
      <c r="T137">
        <v>432</v>
      </c>
    </row>
    <row r="138" spans="15:20" x14ac:dyDescent="0.3">
      <c r="O138">
        <v>137</v>
      </c>
      <c r="P138" t="s">
        <v>128</v>
      </c>
      <c r="Q138" t="s">
        <v>37</v>
      </c>
      <c r="R138">
        <v>731</v>
      </c>
      <c r="S138">
        <v>1021</v>
      </c>
      <c r="T138">
        <v>394</v>
      </c>
    </row>
    <row r="139" spans="15:20" x14ac:dyDescent="0.3">
      <c r="O139">
        <v>138</v>
      </c>
      <c r="P139" t="s">
        <v>129</v>
      </c>
      <c r="Q139" t="s">
        <v>34</v>
      </c>
      <c r="R139">
        <v>610</v>
      </c>
      <c r="S139">
        <v>1124</v>
      </c>
      <c r="T139">
        <v>417</v>
      </c>
    </row>
    <row r="140" spans="15:20" x14ac:dyDescent="0.3">
      <c r="O140">
        <v>139</v>
      </c>
      <c r="P140" t="s">
        <v>129</v>
      </c>
      <c r="Q140" t="s">
        <v>37</v>
      </c>
      <c r="R140">
        <v>944</v>
      </c>
      <c r="S140">
        <v>1048</v>
      </c>
      <c r="T140">
        <v>155</v>
      </c>
    </row>
    <row r="141" spans="15:20" x14ac:dyDescent="0.3">
      <c r="O141">
        <v>140</v>
      </c>
      <c r="P141" t="s">
        <v>130</v>
      </c>
      <c r="Q141" t="s">
        <v>34</v>
      </c>
      <c r="R141">
        <v>1041</v>
      </c>
      <c r="S141">
        <v>642</v>
      </c>
      <c r="T141">
        <v>468</v>
      </c>
    </row>
    <row r="142" spans="15:20" x14ac:dyDescent="0.3">
      <c r="O142">
        <v>141</v>
      </c>
      <c r="P142" t="s">
        <v>130</v>
      </c>
      <c r="Q142" t="s">
        <v>37</v>
      </c>
      <c r="R142">
        <v>631</v>
      </c>
      <c r="S142">
        <v>1285</v>
      </c>
      <c r="T142">
        <v>234</v>
      </c>
    </row>
    <row r="143" spans="15:20" x14ac:dyDescent="0.3">
      <c r="O143">
        <v>142</v>
      </c>
      <c r="P143" t="s">
        <v>131</v>
      </c>
      <c r="Q143" t="s">
        <v>34</v>
      </c>
      <c r="R143">
        <v>758</v>
      </c>
      <c r="S143">
        <v>1183</v>
      </c>
      <c r="T143">
        <v>208</v>
      </c>
    </row>
    <row r="144" spans="15:20" x14ac:dyDescent="0.3">
      <c r="O144">
        <v>143</v>
      </c>
      <c r="P144" t="s">
        <v>131</v>
      </c>
      <c r="Q144" t="s">
        <v>37</v>
      </c>
      <c r="R144">
        <v>635</v>
      </c>
      <c r="S144">
        <v>1353</v>
      </c>
      <c r="T144">
        <v>155</v>
      </c>
    </row>
    <row r="145" spans="15:20" x14ac:dyDescent="0.3">
      <c r="O145">
        <v>144</v>
      </c>
      <c r="P145" t="s">
        <v>132</v>
      </c>
      <c r="Q145" t="s">
        <v>34</v>
      </c>
      <c r="R145">
        <v>861</v>
      </c>
      <c r="S145">
        <v>1054</v>
      </c>
      <c r="T145">
        <v>236</v>
      </c>
    </row>
    <row r="146" spans="15:20" x14ac:dyDescent="0.3">
      <c r="O146">
        <v>145</v>
      </c>
      <c r="P146" t="s">
        <v>132</v>
      </c>
      <c r="Q146" t="s">
        <v>37</v>
      </c>
      <c r="R146">
        <v>440</v>
      </c>
      <c r="S146">
        <v>982</v>
      </c>
      <c r="T146">
        <v>729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2160</v>
      </c>
    </row>
    <row r="149" spans="15:20" x14ac:dyDescent="0.3">
      <c r="O149">
        <v>148</v>
      </c>
      <c r="P149" t="s">
        <v>134</v>
      </c>
      <c r="Q149" t="s">
        <v>34</v>
      </c>
      <c r="R149">
        <v>387</v>
      </c>
      <c r="S149">
        <v>1152</v>
      </c>
      <c r="T149">
        <v>612</v>
      </c>
    </row>
    <row r="150" spans="15:20" x14ac:dyDescent="0.3">
      <c r="O150">
        <v>149</v>
      </c>
      <c r="P150" t="s">
        <v>134</v>
      </c>
      <c r="Q150" t="s">
        <v>37</v>
      </c>
      <c r="R150">
        <v>1006</v>
      </c>
      <c r="S150">
        <v>1144</v>
      </c>
      <c r="T150">
        <v>0</v>
      </c>
    </row>
    <row r="151" spans="15:20" x14ac:dyDescent="0.3">
      <c r="O151">
        <v>150</v>
      </c>
      <c r="P151" t="s">
        <v>135</v>
      </c>
      <c r="Q151" t="s">
        <v>34</v>
      </c>
      <c r="R151">
        <v>1069</v>
      </c>
      <c r="S151">
        <v>1079</v>
      </c>
      <c r="T151">
        <v>0</v>
      </c>
    </row>
    <row r="152" spans="15:20" x14ac:dyDescent="0.3">
      <c r="O152">
        <v>151</v>
      </c>
      <c r="P152" t="s">
        <v>135</v>
      </c>
      <c r="Q152" t="s">
        <v>37</v>
      </c>
      <c r="R152">
        <v>624</v>
      </c>
      <c r="S152">
        <v>1372</v>
      </c>
      <c r="T152">
        <v>156</v>
      </c>
    </row>
    <row r="153" spans="15:20" x14ac:dyDescent="0.3">
      <c r="O153">
        <v>152</v>
      </c>
      <c r="P153" t="s">
        <v>136</v>
      </c>
      <c r="Q153" t="s">
        <v>34</v>
      </c>
      <c r="R153">
        <v>919</v>
      </c>
      <c r="S153">
        <v>1019</v>
      </c>
      <c r="T153">
        <v>208</v>
      </c>
    </row>
    <row r="154" spans="15:20" x14ac:dyDescent="0.3">
      <c r="O154">
        <v>153</v>
      </c>
      <c r="P154" t="s">
        <v>136</v>
      </c>
      <c r="Q154" t="s">
        <v>37</v>
      </c>
      <c r="R154">
        <v>718</v>
      </c>
      <c r="S154">
        <v>1277</v>
      </c>
      <c r="T154">
        <v>155</v>
      </c>
    </row>
    <row r="155" spans="15:20" x14ac:dyDescent="0.3">
      <c r="O155">
        <v>154</v>
      </c>
      <c r="P155" t="s">
        <v>137</v>
      </c>
      <c r="Q155" t="s">
        <v>34</v>
      </c>
      <c r="R155">
        <v>827</v>
      </c>
      <c r="S155">
        <v>1111</v>
      </c>
      <c r="T155">
        <v>208</v>
      </c>
    </row>
    <row r="156" spans="15:20" x14ac:dyDescent="0.3">
      <c r="O156">
        <v>155</v>
      </c>
      <c r="P156" t="s">
        <v>137</v>
      </c>
      <c r="Q156" t="s">
        <v>37</v>
      </c>
      <c r="R156">
        <v>767</v>
      </c>
      <c r="S156">
        <v>1235</v>
      </c>
      <c r="T156">
        <v>145</v>
      </c>
    </row>
    <row r="157" spans="15:20" x14ac:dyDescent="0.3">
      <c r="O157">
        <v>156</v>
      </c>
      <c r="P157" t="s">
        <v>138</v>
      </c>
      <c r="Q157" t="s">
        <v>34</v>
      </c>
      <c r="R157">
        <v>936</v>
      </c>
      <c r="S157">
        <v>1003</v>
      </c>
      <c r="T157">
        <v>206</v>
      </c>
    </row>
    <row r="158" spans="15:20" x14ac:dyDescent="0.3">
      <c r="O158">
        <v>157</v>
      </c>
      <c r="P158" t="s">
        <v>138</v>
      </c>
      <c r="Q158" t="s">
        <v>37</v>
      </c>
      <c r="R158">
        <v>789</v>
      </c>
      <c r="S158">
        <v>1208</v>
      </c>
      <c r="T158">
        <v>155</v>
      </c>
    </row>
    <row r="159" spans="15:20" x14ac:dyDescent="0.3">
      <c r="O159">
        <v>158</v>
      </c>
      <c r="P159" t="s">
        <v>139</v>
      </c>
      <c r="Q159" t="s">
        <v>34</v>
      </c>
      <c r="R159">
        <v>921</v>
      </c>
      <c r="S159">
        <v>984</v>
      </c>
      <c r="T159">
        <v>239</v>
      </c>
    </row>
    <row r="160" spans="15:20" x14ac:dyDescent="0.3">
      <c r="O160">
        <v>159</v>
      </c>
      <c r="P160" t="s">
        <v>139</v>
      </c>
      <c r="Q160" t="s">
        <v>37</v>
      </c>
      <c r="R160">
        <v>738</v>
      </c>
      <c r="S160">
        <v>1167</v>
      </c>
      <c r="T160">
        <v>246</v>
      </c>
    </row>
    <row r="161" spans="15:20" x14ac:dyDescent="0.3">
      <c r="O161">
        <v>160</v>
      </c>
      <c r="P161" t="s">
        <v>140</v>
      </c>
      <c r="Q161" t="s">
        <v>37</v>
      </c>
      <c r="R161">
        <v>528</v>
      </c>
      <c r="S161">
        <v>125</v>
      </c>
      <c r="T161">
        <v>2087</v>
      </c>
    </row>
    <row r="162" spans="15:20" x14ac:dyDescent="0.3">
      <c r="O162">
        <v>161</v>
      </c>
      <c r="P162" t="s">
        <v>141</v>
      </c>
      <c r="Q162" t="s">
        <v>34</v>
      </c>
      <c r="R162">
        <v>520</v>
      </c>
      <c r="S162">
        <v>1019</v>
      </c>
      <c r="T162">
        <v>611</v>
      </c>
    </row>
    <row r="163" spans="15:20" x14ac:dyDescent="0.3">
      <c r="O163">
        <v>162</v>
      </c>
      <c r="P163" t="s">
        <v>141</v>
      </c>
      <c r="Q163" t="s">
        <v>37</v>
      </c>
      <c r="R163">
        <v>589</v>
      </c>
      <c r="S163">
        <v>1406</v>
      </c>
      <c r="T163">
        <v>151</v>
      </c>
    </row>
    <row r="164" spans="15:20" x14ac:dyDescent="0.3">
      <c r="O164">
        <v>163</v>
      </c>
      <c r="P164" t="s">
        <v>142</v>
      </c>
      <c r="Q164" t="s">
        <v>34</v>
      </c>
      <c r="R164">
        <v>820</v>
      </c>
      <c r="S164">
        <v>1124</v>
      </c>
      <c r="T164">
        <v>206</v>
      </c>
    </row>
    <row r="165" spans="15:20" x14ac:dyDescent="0.3">
      <c r="O165">
        <v>164</v>
      </c>
      <c r="P165" t="s">
        <v>142</v>
      </c>
      <c r="Q165" t="s">
        <v>37</v>
      </c>
      <c r="R165">
        <v>519</v>
      </c>
      <c r="S165">
        <v>1476</v>
      </c>
      <c r="T165">
        <v>154</v>
      </c>
    </row>
    <row r="166" spans="15:20" x14ac:dyDescent="0.3">
      <c r="O166">
        <v>165</v>
      </c>
      <c r="P166" t="s">
        <v>143</v>
      </c>
      <c r="Q166" t="s">
        <v>34</v>
      </c>
      <c r="R166">
        <v>899</v>
      </c>
      <c r="S166">
        <v>1048</v>
      </c>
      <c r="T166">
        <v>205</v>
      </c>
    </row>
    <row r="167" spans="15:20" x14ac:dyDescent="0.3">
      <c r="O167">
        <v>166</v>
      </c>
      <c r="P167" t="s">
        <v>143</v>
      </c>
      <c r="Q167" t="s">
        <v>37</v>
      </c>
      <c r="R167">
        <v>530</v>
      </c>
      <c r="S167">
        <v>1612</v>
      </c>
      <c r="T167">
        <v>4</v>
      </c>
    </row>
    <row r="168" spans="15:20" x14ac:dyDescent="0.3">
      <c r="O168">
        <v>167</v>
      </c>
      <c r="P168" t="s">
        <v>144</v>
      </c>
      <c r="Q168" t="s">
        <v>34</v>
      </c>
      <c r="R168">
        <v>936</v>
      </c>
      <c r="S168">
        <v>1218</v>
      </c>
      <c r="T168">
        <v>0</v>
      </c>
    </row>
    <row r="169" spans="15:20" x14ac:dyDescent="0.3">
      <c r="O169">
        <v>168</v>
      </c>
      <c r="P169" t="s">
        <v>144</v>
      </c>
      <c r="Q169" t="s">
        <v>37</v>
      </c>
      <c r="R169">
        <v>602</v>
      </c>
      <c r="S169">
        <v>1387</v>
      </c>
      <c r="T169">
        <v>157</v>
      </c>
    </row>
    <row r="170" spans="15:20" x14ac:dyDescent="0.3">
      <c r="O170">
        <v>169</v>
      </c>
      <c r="P170" t="s">
        <v>145</v>
      </c>
      <c r="Q170" t="s">
        <v>34</v>
      </c>
      <c r="R170">
        <v>978</v>
      </c>
      <c r="S170">
        <v>969</v>
      </c>
      <c r="T170">
        <v>205</v>
      </c>
    </row>
    <row r="171" spans="15:20" x14ac:dyDescent="0.3">
      <c r="O171">
        <v>170</v>
      </c>
      <c r="P171" t="s">
        <v>145</v>
      </c>
      <c r="Q171" t="s">
        <v>37</v>
      </c>
      <c r="R171">
        <v>653</v>
      </c>
      <c r="S171">
        <v>1496</v>
      </c>
      <c r="T171">
        <v>0</v>
      </c>
    </row>
    <row r="172" spans="15:20" x14ac:dyDescent="0.3">
      <c r="O172">
        <v>171</v>
      </c>
      <c r="P172" t="s">
        <v>146</v>
      </c>
      <c r="Q172" t="s">
        <v>34</v>
      </c>
      <c r="R172">
        <v>1033</v>
      </c>
      <c r="S172">
        <v>1120</v>
      </c>
      <c r="T172">
        <v>0</v>
      </c>
    </row>
    <row r="173" spans="15:20" x14ac:dyDescent="0.3">
      <c r="O173">
        <v>172</v>
      </c>
      <c r="P173" t="s">
        <v>146</v>
      </c>
      <c r="Q173" t="s">
        <v>37</v>
      </c>
      <c r="R173">
        <v>453</v>
      </c>
      <c r="S173">
        <v>1450</v>
      </c>
      <c r="T173">
        <v>247</v>
      </c>
    </row>
    <row r="174" spans="15:20" x14ac:dyDescent="0.3">
      <c r="O174">
        <v>173</v>
      </c>
      <c r="P174" t="s">
        <v>147</v>
      </c>
      <c r="Q174" t="s">
        <v>34</v>
      </c>
      <c r="R174">
        <v>857</v>
      </c>
      <c r="S174">
        <v>1047</v>
      </c>
      <c r="T174">
        <v>250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148</v>
      </c>
      <c r="Q176" t="s">
        <v>34</v>
      </c>
      <c r="R176">
        <v>421</v>
      </c>
      <c r="S176">
        <v>1111</v>
      </c>
      <c r="T176">
        <v>616</v>
      </c>
    </row>
    <row r="177" spans="15:20" x14ac:dyDescent="0.3">
      <c r="O177">
        <v>176</v>
      </c>
      <c r="P177" t="s">
        <v>148</v>
      </c>
      <c r="Q177" t="s">
        <v>37</v>
      </c>
      <c r="R177">
        <v>552</v>
      </c>
      <c r="S177">
        <v>1445</v>
      </c>
      <c r="T177">
        <v>154</v>
      </c>
    </row>
    <row r="178" spans="15:20" x14ac:dyDescent="0.3">
      <c r="O178">
        <v>177</v>
      </c>
      <c r="P178" t="s">
        <v>149</v>
      </c>
      <c r="Q178" t="s">
        <v>34</v>
      </c>
      <c r="R178">
        <v>906</v>
      </c>
      <c r="S178">
        <v>1033</v>
      </c>
      <c r="T178">
        <v>207</v>
      </c>
    </row>
    <row r="179" spans="15:20" x14ac:dyDescent="0.3">
      <c r="O179">
        <v>178</v>
      </c>
      <c r="P179" t="s">
        <v>149</v>
      </c>
      <c r="Q179" t="s">
        <v>37</v>
      </c>
      <c r="R179">
        <v>530</v>
      </c>
      <c r="S179">
        <v>1467</v>
      </c>
      <c r="T179">
        <v>156</v>
      </c>
    </row>
    <row r="180" spans="15:20" x14ac:dyDescent="0.3">
      <c r="O180">
        <v>179</v>
      </c>
      <c r="P180" t="s">
        <v>150</v>
      </c>
      <c r="Q180" t="s">
        <v>34</v>
      </c>
      <c r="R180">
        <v>796</v>
      </c>
      <c r="S180">
        <v>1147</v>
      </c>
      <c r="T180">
        <v>206</v>
      </c>
    </row>
    <row r="181" spans="15:20" x14ac:dyDescent="0.3">
      <c r="O181">
        <v>180</v>
      </c>
      <c r="P181" t="s">
        <v>150</v>
      </c>
      <c r="Q181" t="s">
        <v>37</v>
      </c>
      <c r="R181">
        <v>517</v>
      </c>
      <c r="S181">
        <v>1481</v>
      </c>
      <c r="T181">
        <v>156</v>
      </c>
    </row>
    <row r="182" spans="15:20" x14ac:dyDescent="0.3">
      <c r="O182">
        <v>181</v>
      </c>
      <c r="P182" t="s">
        <v>151</v>
      </c>
      <c r="Q182" t="s">
        <v>34</v>
      </c>
      <c r="R182">
        <v>964</v>
      </c>
      <c r="S182">
        <v>978</v>
      </c>
      <c r="T182">
        <v>207</v>
      </c>
    </row>
    <row r="183" spans="15:20" x14ac:dyDescent="0.3">
      <c r="O183">
        <v>182</v>
      </c>
      <c r="P183" t="s">
        <v>151</v>
      </c>
      <c r="Q183" t="s">
        <v>37</v>
      </c>
      <c r="R183">
        <v>716</v>
      </c>
      <c r="S183">
        <v>1280</v>
      </c>
      <c r="T183">
        <v>155</v>
      </c>
    </row>
    <row r="184" spans="15:20" x14ac:dyDescent="0.3">
      <c r="O184">
        <v>183</v>
      </c>
      <c r="P184" t="s">
        <v>152</v>
      </c>
      <c r="Q184" t="s">
        <v>34</v>
      </c>
      <c r="R184">
        <v>739</v>
      </c>
      <c r="S184">
        <v>1202</v>
      </c>
      <c r="T184">
        <v>207</v>
      </c>
    </row>
    <row r="185" spans="15:20" x14ac:dyDescent="0.3">
      <c r="O185">
        <v>184</v>
      </c>
      <c r="P185" t="s">
        <v>152</v>
      </c>
      <c r="Q185" t="s">
        <v>37</v>
      </c>
      <c r="R185">
        <v>650</v>
      </c>
      <c r="S185">
        <v>1341</v>
      </c>
      <c r="T185">
        <v>160</v>
      </c>
    </row>
    <row r="186" spans="15:20" x14ac:dyDescent="0.3">
      <c r="O186">
        <v>185</v>
      </c>
      <c r="P186" t="s">
        <v>153</v>
      </c>
      <c r="Q186" t="s">
        <v>34</v>
      </c>
      <c r="R186">
        <v>893</v>
      </c>
      <c r="S186">
        <v>756</v>
      </c>
      <c r="T186">
        <v>506</v>
      </c>
    </row>
    <row r="187" spans="15:20" x14ac:dyDescent="0.3">
      <c r="O187">
        <v>186</v>
      </c>
      <c r="P187" t="s">
        <v>153</v>
      </c>
      <c r="Q187" t="s">
        <v>37</v>
      </c>
      <c r="R187">
        <v>631</v>
      </c>
      <c r="S187">
        <v>1025</v>
      </c>
      <c r="T187">
        <v>498</v>
      </c>
    </row>
    <row r="188" spans="15:20" x14ac:dyDescent="0.3">
      <c r="O188">
        <v>187</v>
      </c>
      <c r="P188" t="s">
        <v>154</v>
      </c>
      <c r="Q188" t="s">
        <v>34</v>
      </c>
      <c r="R188">
        <v>604</v>
      </c>
      <c r="S188">
        <v>1062</v>
      </c>
      <c r="T188">
        <v>482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2160</v>
      </c>
    </row>
    <row r="190" spans="15:20" x14ac:dyDescent="0.3">
      <c r="O190">
        <v>189</v>
      </c>
      <c r="P190" t="s">
        <v>155</v>
      </c>
      <c r="Q190" t="s">
        <v>34</v>
      </c>
      <c r="R190">
        <v>503</v>
      </c>
      <c r="S190">
        <v>1044</v>
      </c>
      <c r="T190">
        <v>604</v>
      </c>
    </row>
    <row r="191" spans="15:20" x14ac:dyDescent="0.3">
      <c r="O191">
        <v>190</v>
      </c>
      <c r="P191" t="s">
        <v>155</v>
      </c>
      <c r="Q191" t="s">
        <v>37</v>
      </c>
      <c r="R191">
        <v>623</v>
      </c>
      <c r="S191">
        <v>1522</v>
      </c>
      <c r="T191">
        <v>0</v>
      </c>
    </row>
    <row r="192" spans="15:20" x14ac:dyDescent="0.3">
      <c r="O192">
        <v>191</v>
      </c>
      <c r="P192" t="s">
        <v>156</v>
      </c>
      <c r="Q192" t="s">
        <v>34</v>
      </c>
      <c r="R192">
        <v>1159</v>
      </c>
      <c r="S192">
        <v>993</v>
      </c>
      <c r="T192">
        <v>0</v>
      </c>
    </row>
    <row r="193" spans="15:20" x14ac:dyDescent="0.3">
      <c r="O193">
        <v>192</v>
      </c>
      <c r="P193" t="s">
        <v>156</v>
      </c>
      <c r="Q193" t="s">
        <v>37</v>
      </c>
      <c r="R193">
        <v>548</v>
      </c>
      <c r="S193">
        <v>1600</v>
      </c>
      <c r="T193">
        <v>0</v>
      </c>
    </row>
    <row r="194" spans="15:20" x14ac:dyDescent="0.3">
      <c r="O194">
        <v>193</v>
      </c>
      <c r="P194" t="s">
        <v>157</v>
      </c>
      <c r="Q194" t="s">
        <v>34</v>
      </c>
      <c r="R194">
        <v>1028</v>
      </c>
      <c r="S194">
        <v>1123</v>
      </c>
      <c r="T194">
        <v>0</v>
      </c>
    </row>
    <row r="195" spans="15:20" x14ac:dyDescent="0.3">
      <c r="O195">
        <v>194</v>
      </c>
      <c r="P195" t="s">
        <v>157</v>
      </c>
      <c r="Q195" t="s">
        <v>37</v>
      </c>
      <c r="R195">
        <v>592</v>
      </c>
      <c r="S195">
        <v>1549</v>
      </c>
      <c r="T195">
        <v>0</v>
      </c>
    </row>
    <row r="196" spans="15:20" x14ac:dyDescent="0.3">
      <c r="O196">
        <v>195</v>
      </c>
      <c r="P196" t="s">
        <v>158</v>
      </c>
      <c r="Q196" t="s">
        <v>34</v>
      </c>
      <c r="R196">
        <v>1078</v>
      </c>
      <c r="S196">
        <v>1055</v>
      </c>
      <c r="T196">
        <v>19</v>
      </c>
    </row>
    <row r="197" spans="15:20" x14ac:dyDescent="0.3">
      <c r="O197">
        <v>196</v>
      </c>
      <c r="P197" t="s">
        <v>158</v>
      </c>
      <c r="Q197" t="s">
        <v>37</v>
      </c>
      <c r="R197">
        <v>736</v>
      </c>
      <c r="S197">
        <v>1409</v>
      </c>
      <c r="T197">
        <v>0</v>
      </c>
    </row>
    <row r="198" spans="15:20" x14ac:dyDescent="0.3">
      <c r="O198">
        <v>197</v>
      </c>
      <c r="P198" t="s">
        <v>159</v>
      </c>
      <c r="Q198" t="s">
        <v>34</v>
      </c>
      <c r="R198">
        <v>1077</v>
      </c>
      <c r="S198">
        <v>1074</v>
      </c>
      <c r="T198">
        <v>0</v>
      </c>
    </row>
    <row r="199" spans="15:20" x14ac:dyDescent="0.3">
      <c r="O199">
        <v>198</v>
      </c>
      <c r="P199" t="s">
        <v>159</v>
      </c>
      <c r="Q199" t="s">
        <v>37</v>
      </c>
      <c r="R199">
        <v>892</v>
      </c>
      <c r="S199">
        <v>1253</v>
      </c>
      <c r="T199">
        <v>0</v>
      </c>
    </row>
    <row r="200" spans="15:20" x14ac:dyDescent="0.3">
      <c r="O200">
        <v>199</v>
      </c>
      <c r="P200" t="s">
        <v>160</v>
      </c>
      <c r="Q200" t="s">
        <v>34</v>
      </c>
      <c r="R200">
        <v>972</v>
      </c>
      <c r="S200">
        <v>643</v>
      </c>
      <c r="T200">
        <v>542</v>
      </c>
    </row>
    <row r="201" spans="15:20" x14ac:dyDescent="0.3">
      <c r="O201">
        <v>200</v>
      </c>
      <c r="P201" t="s">
        <v>160</v>
      </c>
      <c r="Q201" t="s">
        <v>37</v>
      </c>
      <c r="R201">
        <v>525</v>
      </c>
      <c r="S201">
        <v>1058</v>
      </c>
      <c r="T201">
        <v>569</v>
      </c>
    </row>
    <row r="202" spans="15:20" x14ac:dyDescent="0.3">
      <c r="O202">
        <v>201</v>
      </c>
      <c r="P202" t="s">
        <v>161</v>
      </c>
      <c r="Q202" t="s">
        <v>34</v>
      </c>
      <c r="R202">
        <v>724</v>
      </c>
      <c r="S202">
        <v>899</v>
      </c>
      <c r="T202">
        <v>527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2160</v>
      </c>
    </row>
    <row r="204" spans="15:20" x14ac:dyDescent="0.3">
      <c r="O204">
        <v>203</v>
      </c>
      <c r="P204" t="s">
        <v>162</v>
      </c>
      <c r="Q204" t="s">
        <v>34</v>
      </c>
      <c r="R204">
        <v>531</v>
      </c>
      <c r="S204">
        <v>1007</v>
      </c>
      <c r="T204">
        <v>606</v>
      </c>
    </row>
    <row r="205" spans="15:20" x14ac:dyDescent="0.3">
      <c r="O205">
        <v>204</v>
      </c>
      <c r="P205" t="s">
        <v>162</v>
      </c>
      <c r="Q205" t="s">
        <v>37</v>
      </c>
      <c r="R205">
        <v>549</v>
      </c>
      <c r="S205">
        <v>1290</v>
      </c>
      <c r="T205">
        <v>311</v>
      </c>
    </row>
    <row r="206" spans="15:20" x14ac:dyDescent="0.3">
      <c r="O206">
        <v>205</v>
      </c>
      <c r="P206" t="s">
        <v>163</v>
      </c>
      <c r="Q206" t="s">
        <v>34</v>
      </c>
      <c r="R206">
        <v>623</v>
      </c>
      <c r="S206">
        <v>1117</v>
      </c>
      <c r="T206">
        <v>409</v>
      </c>
    </row>
    <row r="207" spans="15:20" x14ac:dyDescent="0.3">
      <c r="O207">
        <v>206</v>
      </c>
      <c r="P207" t="s">
        <v>163</v>
      </c>
      <c r="Q207" t="s">
        <v>37</v>
      </c>
      <c r="R207">
        <v>699</v>
      </c>
      <c r="S207">
        <v>1296</v>
      </c>
      <c r="T207">
        <v>156</v>
      </c>
    </row>
    <row r="208" spans="15:20" x14ac:dyDescent="0.3">
      <c r="O208">
        <v>207</v>
      </c>
      <c r="P208" t="s">
        <v>164</v>
      </c>
      <c r="Q208" t="s">
        <v>34</v>
      </c>
      <c r="R208">
        <v>861</v>
      </c>
      <c r="S208">
        <v>1082</v>
      </c>
      <c r="T208">
        <v>205</v>
      </c>
    </row>
    <row r="209" spans="15:20" x14ac:dyDescent="0.3">
      <c r="O209">
        <v>208</v>
      </c>
      <c r="P209" t="s">
        <v>164</v>
      </c>
      <c r="Q209" t="s">
        <v>37</v>
      </c>
      <c r="R209">
        <v>657</v>
      </c>
      <c r="S209">
        <v>1336</v>
      </c>
      <c r="T209">
        <v>157</v>
      </c>
    </row>
    <row r="210" spans="15:20" x14ac:dyDescent="0.3">
      <c r="O210">
        <v>209</v>
      </c>
      <c r="P210" t="s">
        <v>165</v>
      </c>
      <c r="Q210" t="s">
        <v>34</v>
      </c>
      <c r="R210">
        <v>795</v>
      </c>
      <c r="S210">
        <v>1145</v>
      </c>
      <c r="T210">
        <v>205</v>
      </c>
    </row>
    <row r="211" spans="15:20" x14ac:dyDescent="0.3">
      <c r="O211">
        <v>210</v>
      </c>
      <c r="P211" t="s">
        <v>165</v>
      </c>
      <c r="Q211" t="s">
        <v>37</v>
      </c>
      <c r="R211">
        <v>669</v>
      </c>
      <c r="S211">
        <v>1481</v>
      </c>
      <c r="T211">
        <v>0</v>
      </c>
    </row>
    <row r="212" spans="15:20" x14ac:dyDescent="0.3">
      <c r="O212">
        <v>211</v>
      </c>
      <c r="P212" t="s">
        <v>166</v>
      </c>
      <c r="Q212" t="s">
        <v>34</v>
      </c>
      <c r="R212">
        <v>874</v>
      </c>
      <c r="S212">
        <v>1274</v>
      </c>
      <c r="T212">
        <v>0</v>
      </c>
    </row>
    <row r="213" spans="15:20" x14ac:dyDescent="0.3">
      <c r="O213">
        <v>212</v>
      </c>
      <c r="P213" t="s">
        <v>166</v>
      </c>
      <c r="Q213" t="s">
        <v>37</v>
      </c>
      <c r="R213">
        <v>499</v>
      </c>
      <c r="S213">
        <v>1496</v>
      </c>
      <c r="T213">
        <v>156</v>
      </c>
    </row>
    <row r="214" spans="15:20" x14ac:dyDescent="0.3">
      <c r="O214">
        <v>213</v>
      </c>
      <c r="P214" t="s">
        <v>167</v>
      </c>
      <c r="Q214" t="s">
        <v>34</v>
      </c>
      <c r="R214">
        <v>695</v>
      </c>
      <c r="S214">
        <v>1218</v>
      </c>
      <c r="T214">
        <v>234</v>
      </c>
    </row>
    <row r="215" spans="15:20" x14ac:dyDescent="0.3">
      <c r="O215">
        <v>214</v>
      </c>
      <c r="P215" t="s">
        <v>167</v>
      </c>
      <c r="Q215" t="s">
        <v>37</v>
      </c>
      <c r="R215">
        <v>612</v>
      </c>
      <c r="S215">
        <v>1293</v>
      </c>
      <c r="T215">
        <v>246</v>
      </c>
    </row>
    <row r="216" spans="15:20" x14ac:dyDescent="0.3">
      <c r="O216">
        <v>215</v>
      </c>
      <c r="P216" t="s">
        <v>168</v>
      </c>
      <c r="Q216" t="s">
        <v>34</v>
      </c>
      <c r="R216">
        <v>850</v>
      </c>
      <c r="S216">
        <v>1052</v>
      </c>
      <c r="T216">
        <v>248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2160</v>
      </c>
    </row>
    <row r="218" spans="15:20" x14ac:dyDescent="0.3">
      <c r="O218">
        <v>217</v>
      </c>
      <c r="P218" t="s">
        <v>169</v>
      </c>
      <c r="Q218" t="s">
        <v>34</v>
      </c>
      <c r="R218">
        <v>480</v>
      </c>
      <c r="S218">
        <v>1069</v>
      </c>
      <c r="T218">
        <v>604</v>
      </c>
    </row>
    <row r="219" spans="15:20" x14ac:dyDescent="0.3">
      <c r="O219">
        <v>218</v>
      </c>
      <c r="P219" t="s">
        <v>169</v>
      </c>
      <c r="Q219" t="s">
        <v>37</v>
      </c>
      <c r="R219">
        <v>696</v>
      </c>
      <c r="S219">
        <v>1448</v>
      </c>
      <c r="T219">
        <v>0</v>
      </c>
    </row>
    <row r="220" spans="15:20" x14ac:dyDescent="0.3">
      <c r="O220">
        <v>219</v>
      </c>
      <c r="P220" t="s">
        <v>170</v>
      </c>
      <c r="Q220" t="s">
        <v>34</v>
      </c>
      <c r="R220">
        <v>963</v>
      </c>
      <c r="S220">
        <v>1188</v>
      </c>
      <c r="T220">
        <v>0</v>
      </c>
    </row>
    <row r="221" spans="15:20" x14ac:dyDescent="0.3">
      <c r="O221">
        <v>220</v>
      </c>
      <c r="P221" t="s">
        <v>170</v>
      </c>
      <c r="Q221" t="s">
        <v>37</v>
      </c>
      <c r="R221">
        <v>719</v>
      </c>
      <c r="S221">
        <v>1422</v>
      </c>
      <c r="T221">
        <v>1</v>
      </c>
    </row>
    <row r="222" spans="15:20" x14ac:dyDescent="0.3">
      <c r="O222">
        <v>221</v>
      </c>
      <c r="P222" t="s">
        <v>171</v>
      </c>
      <c r="Q222" t="s">
        <v>34</v>
      </c>
      <c r="R222">
        <v>952</v>
      </c>
      <c r="S222">
        <v>1198</v>
      </c>
      <c r="T222">
        <v>0</v>
      </c>
    </row>
    <row r="223" spans="15:20" x14ac:dyDescent="0.3">
      <c r="O223">
        <v>222</v>
      </c>
      <c r="P223" t="s">
        <v>171</v>
      </c>
      <c r="Q223" t="s">
        <v>37</v>
      </c>
      <c r="R223">
        <v>636</v>
      </c>
      <c r="S223">
        <v>1227</v>
      </c>
      <c r="T223">
        <v>281</v>
      </c>
    </row>
    <row r="224" spans="15:20" x14ac:dyDescent="0.3">
      <c r="O224">
        <v>223</v>
      </c>
      <c r="P224" t="s">
        <v>172</v>
      </c>
      <c r="Q224" t="s">
        <v>34</v>
      </c>
      <c r="R224">
        <v>572</v>
      </c>
      <c r="S224">
        <v>1187</v>
      </c>
      <c r="T224">
        <v>394</v>
      </c>
    </row>
    <row r="225" spans="15:20" x14ac:dyDescent="0.3">
      <c r="O225">
        <v>224</v>
      </c>
      <c r="P225" t="s">
        <v>172</v>
      </c>
      <c r="Q225" t="s">
        <v>37</v>
      </c>
      <c r="R225">
        <v>769</v>
      </c>
      <c r="S225">
        <v>1373</v>
      </c>
      <c r="T225">
        <v>0</v>
      </c>
    </row>
    <row r="226" spans="15:20" x14ac:dyDescent="0.3">
      <c r="O226">
        <v>225</v>
      </c>
      <c r="P226" t="s">
        <v>173</v>
      </c>
      <c r="Q226" t="s">
        <v>34</v>
      </c>
      <c r="R226">
        <v>1081</v>
      </c>
      <c r="S226">
        <v>1071</v>
      </c>
      <c r="T226">
        <v>0</v>
      </c>
    </row>
    <row r="227" spans="15:20" x14ac:dyDescent="0.3">
      <c r="O227">
        <v>226</v>
      </c>
      <c r="P227" t="s">
        <v>173</v>
      </c>
      <c r="Q227" t="s">
        <v>37</v>
      </c>
      <c r="R227">
        <v>684</v>
      </c>
      <c r="S227">
        <v>1306</v>
      </c>
      <c r="T227">
        <v>156</v>
      </c>
    </row>
    <row r="228" spans="15:20" x14ac:dyDescent="0.3">
      <c r="O228">
        <v>227</v>
      </c>
      <c r="P228" t="s">
        <v>174</v>
      </c>
      <c r="Q228" t="s">
        <v>34</v>
      </c>
      <c r="R228">
        <v>806</v>
      </c>
      <c r="S228">
        <v>1114</v>
      </c>
      <c r="T228">
        <v>231</v>
      </c>
    </row>
    <row r="229" spans="15:20" x14ac:dyDescent="0.3">
      <c r="O229">
        <v>228</v>
      </c>
      <c r="P229" t="s">
        <v>174</v>
      </c>
      <c r="Q229" t="s">
        <v>37</v>
      </c>
      <c r="R229">
        <v>386</v>
      </c>
      <c r="S229">
        <v>1029</v>
      </c>
      <c r="T229">
        <v>735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2161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2160</v>
      </c>
    </row>
    <row r="232" spans="15:20" x14ac:dyDescent="0.3">
      <c r="O232">
        <v>231</v>
      </c>
      <c r="P232" t="s">
        <v>176</v>
      </c>
      <c r="Q232" t="s">
        <v>34</v>
      </c>
      <c r="R232">
        <v>496</v>
      </c>
      <c r="S232">
        <v>1044</v>
      </c>
      <c r="T232">
        <v>608</v>
      </c>
    </row>
    <row r="233" spans="15:20" x14ac:dyDescent="0.3">
      <c r="O233">
        <v>232</v>
      </c>
      <c r="P233" t="s">
        <v>176</v>
      </c>
      <c r="Q233" t="s">
        <v>37</v>
      </c>
      <c r="R233">
        <v>653</v>
      </c>
      <c r="S233">
        <v>1497</v>
      </c>
      <c r="T233">
        <v>0</v>
      </c>
    </row>
    <row r="234" spans="15:20" x14ac:dyDescent="0.3">
      <c r="O234">
        <v>233</v>
      </c>
      <c r="P234" t="s">
        <v>177</v>
      </c>
      <c r="Q234" t="s">
        <v>34</v>
      </c>
      <c r="R234">
        <v>704</v>
      </c>
      <c r="S234">
        <v>1446</v>
      </c>
      <c r="T234">
        <v>0</v>
      </c>
    </row>
    <row r="235" spans="15:20" x14ac:dyDescent="0.3">
      <c r="O235">
        <v>234</v>
      </c>
      <c r="P235" t="s">
        <v>177</v>
      </c>
      <c r="Q235" t="s">
        <v>37</v>
      </c>
      <c r="R235">
        <v>378</v>
      </c>
      <c r="S235">
        <v>1776</v>
      </c>
      <c r="T235">
        <v>0</v>
      </c>
    </row>
    <row r="236" spans="15:20" x14ac:dyDescent="0.3">
      <c r="O236">
        <v>235</v>
      </c>
      <c r="P236" t="s">
        <v>178</v>
      </c>
      <c r="Q236" t="s">
        <v>34</v>
      </c>
      <c r="R236">
        <v>718</v>
      </c>
      <c r="S236">
        <v>1432</v>
      </c>
      <c r="T236">
        <v>0</v>
      </c>
    </row>
    <row r="237" spans="15:20" x14ac:dyDescent="0.3">
      <c r="O237">
        <v>236</v>
      </c>
      <c r="P237" t="s">
        <v>178</v>
      </c>
      <c r="Q237" t="s">
        <v>37</v>
      </c>
      <c r="R237">
        <v>534</v>
      </c>
      <c r="S237">
        <v>958</v>
      </c>
      <c r="T237">
        <v>661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2160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2160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2160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2160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2161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2160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2160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2160</v>
      </c>
    </row>
    <row r="246" spans="15:20" x14ac:dyDescent="0.3">
      <c r="O246">
        <v>245</v>
      </c>
      <c r="P246" t="s">
        <v>183</v>
      </c>
      <c r="Q246" t="s">
        <v>34</v>
      </c>
      <c r="R246">
        <v>434</v>
      </c>
      <c r="S246">
        <v>1111</v>
      </c>
      <c r="T246">
        <v>610</v>
      </c>
    </row>
    <row r="247" spans="15:20" x14ac:dyDescent="0.3">
      <c r="O247">
        <v>246</v>
      </c>
      <c r="P247" t="s">
        <v>183</v>
      </c>
      <c r="Q247" t="s">
        <v>37</v>
      </c>
      <c r="R247">
        <v>561</v>
      </c>
      <c r="S247">
        <v>1587</v>
      </c>
      <c r="T247">
        <v>1</v>
      </c>
    </row>
    <row r="248" spans="15:20" x14ac:dyDescent="0.3">
      <c r="O248">
        <v>247</v>
      </c>
      <c r="P248" t="s">
        <v>184</v>
      </c>
      <c r="Q248" t="s">
        <v>34</v>
      </c>
      <c r="R248">
        <v>795</v>
      </c>
      <c r="S248">
        <v>1356</v>
      </c>
      <c r="T248">
        <v>0</v>
      </c>
    </row>
    <row r="249" spans="15:20" x14ac:dyDescent="0.3">
      <c r="O249">
        <v>248</v>
      </c>
      <c r="P249" t="s">
        <v>184</v>
      </c>
      <c r="Q249" t="s">
        <v>37</v>
      </c>
      <c r="R249">
        <v>636</v>
      </c>
      <c r="S249">
        <v>1357</v>
      </c>
      <c r="T249">
        <v>153</v>
      </c>
    </row>
    <row r="250" spans="15:20" x14ac:dyDescent="0.3">
      <c r="O250">
        <v>249</v>
      </c>
      <c r="P250" t="s">
        <v>185</v>
      </c>
      <c r="Q250" t="s">
        <v>34</v>
      </c>
      <c r="R250">
        <v>711</v>
      </c>
      <c r="S250">
        <v>1182</v>
      </c>
      <c r="T250">
        <v>258</v>
      </c>
    </row>
    <row r="251" spans="15:20" x14ac:dyDescent="0.3">
      <c r="O251">
        <v>250</v>
      </c>
      <c r="P251" t="s">
        <v>185</v>
      </c>
      <c r="Q251" t="s">
        <v>37</v>
      </c>
      <c r="R251">
        <v>319</v>
      </c>
      <c r="S251">
        <v>1677</v>
      </c>
      <c r="T251">
        <v>153</v>
      </c>
    </row>
    <row r="252" spans="15:20" x14ac:dyDescent="0.3">
      <c r="O252">
        <v>251</v>
      </c>
      <c r="P252" t="s">
        <v>186</v>
      </c>
      <c r="Q252" t="s">
        <v>34</v>
      </c>
      <c r="R252">
        <v>918</v>
      </c>
      <c r="S252">
        <v>1017</v>
      </c>
      <c r="T252">
        <v>216</v>
      </c>
    </row>
    <row r="253" spans="15:20" x14ac:dyDescent="0.3">
      <c r="O253">
        <v>252</v>
      </c>
      <c r="P253" t="s">
        <v>186</v>
      </c>
      <c r="Q253" t="s">
        <v>37</v>
      </c>
      <c r="R253">
        <v>537</v>
      </c>
      <c r="S253">
        <v>1453</v>
      </c>
      <c r="T253">
        <v>158</v>
      </c>
    </row>
    <row r="254" spans="15:20" x14ac:dyDescent="0.3">
      <c r="O254">
        <v>253</v>
      </c>
      <c r="P254" t="s">
        <v>187</v>
      </c>
      <c r="Q254" t="s">
        <v>34</v>
      </c>
      <c r="R254">
        <v>805</v>
      </c>
      <c r="S254">
        <v>1139</v>
      </c>
      <c r="T254">
        <v>206</v>
      </c>
    </row>
    <row r="255" spans="15:20" x14ac:dyDescent="0.3">
      <c r="O255">
        <v>254</v>
      </c>
      <c r="P255" t="s">
        <v>187</v>
      </c>
      <c r="Q255" t="s">
        <v>37</v>
      </c>
      <c r="R255">
        <v>754</v>
      </c>
      <c r="S255">
        <v>1390</v>
      </c>
      <c r="T255">
        <v>0</v>
      </c>
    </row>
    <row r="256" spans="15:20" x14ac:dyDescent="0.3">
      <c r="O256">
        <v>255</v>
      </c>
      <c r="P256" t="s">
        <v>188</v>
      </c>
      <c r="Q256" t="s">
        <v>34</v>
      </c>
      <c r="R256">
        <v>1071</v>
      </c>
      <c r="S256">
        <v>1084</v>
      </c>
      <c r="T256">
        <v>0</v>
      </c>
    </row>
    <row r="257" spans="15:20" x14ac:dyDescent="0.3">
      <c r="O257">
        <v>256</v>
      </c>
      <c r="P257" t="s">
        <v>188</v>
      </c>
      <c r="Q257" t="s">
        <v>37</v>
      </c>
      <c r="R257">
        <v>567</v>
      </c>
      <c r="S257">
        <v>1091</v>
      </c>
      <c r="T257">
        <v>491</v>
      </c>
    </row>
    <row r="258" spans="15:20" x14ac:dyDescent="0.3">
      <c r="O258">
        <v>257</v>
      </c>
      <c r="P258" t="s">
        <v>189</v>
      </c>
      <c r="Q258" t="s">
        <v>34</v>
      </c>
      <c r="R258">
        <v>701</v>
      </c>
      <c r="S258">
        <v>971</v>
      </c>
      <c r="T258">
        <v>478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2160</v>
      </c>
    </row>
    <row r="260" spans="15:20" x14ac:dyDescent="0.3">
      <c r="O260">
        <v>259</v>
      </c>
      <c r="P260" t="s">
        <v>190</v>
      </c>
      <c r="Q260" t="s">
        <v>34</v>
      </c>
      <c r="R260">
        <v>499</v>
      </c>
      <c r="S260">
        <v>1039</v>
      </c>
      <c r="T260">
        <v>610</v>
      </c>
    </row>
    <row r="261" spans="15:20" x14ac:dyDescent="0.3">
      <c r="O261">
        <v>260</v>
      </c>
      <c r="P261" t="s">
        <v>190</v>
      </c>
      <c r="Q261" t="s">
        <v>37</v>
      </c>
      <c r="R261">
        <v>710</v>
      </c>
      <c r="S261">
        <v>1442</v>
      </c>
      <c r="T261">
        <v>0</v>
      </c>
    </row>
    <row r="262" spans="15:20" x14ac:dyDescent="0.3">
      <c r="O262">
        <v>261</v>
      </c>
      <c r="P262" t="s">
        <v>191</v>
      </c>
      <c r="Q262" t="s">
        <v>34</v>
      </c>
      <c r="R262">
        <v>1100</v>
      </c>
      <c r="S262">
        <v>1050</v>
      </c>
      <c r="T262">
        <v>0</v>
      </c>
    </row>
    <row r="263" spans="15:20" x14ac:dyDescent="0.3">
      <c r="O263">
        <v>262</v>
      </c>
      <c r="P263" t="s">
        <v>191</v>
      </c>
      <c r="Q263" t="s">
        <v>37</v>
      </c>
      <c r="R263">
        <v>633</v>
      </c>
      <c r="S263">
        <v>1518</v>
      </c>
      <c r="T263">
        <v>0</v>
      </c>
    </row>
    <row r="264" spans="15:20" x14ac:dyDescent="0.3">
      <c r="O264">
        <v>263</v>
      </c>
      <c r="P264" t="s">
        <v>192</v>
      </c>
      <c r="Q264" t="s">
        <v>34</v>
      </c>
      <c r="R264">
        <v>1049</v>
      </c>
      <c r="S264">
        <v>1098</v>
      </c>
      <c r="T264">
        <v>0</v>
      </c>
    </row>
    <row r="265" spans="15:20" x14ac:dyDescent="0.3">
      <c r="O265">
        <v>264</v>
      </c>
      <c r="P265" t="s">
        <v>192</v>
      </c>
      <c r="Q265" t="s">
        <v>37</v>
      </c>
      <c r="R265">
        <v>750</v>
      </c>
      <c r="S265">
        <v>1404</v>
      </c>
      <c r="T265">
        <v>0</v>
      </c>
    </row>
    <row r="266" spans="15:20" x14ac:dyDescent="0.3">
      <c r="O266">
        <v>265</v>
      </c>
      <c r="P266" t="s">
        <v>193</v>
      </c>
      <c r="Q266" t="s">
        <v>34</v>
      </c>
      <c r="R266">
        <v>1073</v>
      </c>
      <c r="S266">
        <v>1077</v>
      </c>
      <c r="T266">
        <v>0</v>
      </c>
    </row>
    <row r="267" spans="15:20" x14ac:dyDescent="0.3">
      <c r="O267">
        <v>266</v>
      </c>
      <c r="P267" t="s">
        <v>193</v>
      </c>
      <c r="Q267" t="s">
        <v>37</v>
      </c>
      <c r="R267">
        <v>566</v>
      </c>
      <c r="S267">
        <v>1584</v>
      </c>
      <c r="T267">
        <v>0</v>
      </c>
    </row>
    <row r="268" spans="15:20" x14ac:dyDescent="0.3">
      <c r="O268">
        <v>267</v>
      </c>
      <c r="P268" t="s">
        <v>194</v>
      </c>
      <c r="Q268" t="s">
        <v>34</v>
      </c>
      <c r="R268">
        <v>885</v>
      </c>
      <c r="S268">
        <v>1265</v>
      </c>
      <c r="T268">
        <v>0</v>
      </c>
    </row>
    <row r="269" spans="15:20" x14ac:dyDescent="0.3">
      <c r="O269">
        <v>268</v>
      </c>
      <c r="P269" t="s">
        <v>194</v>
      </c>
      <c r="Q269" t="s">
        <v>37</v>
      </c>
      <c r="R269">
        <v>578</v>
      </c>
      <c r="S269">
        <v>1414</v>
      </c>
      <c r="T269">
        <v>160</v>
      </c>
    </row>
    <row r="270" spans="15:20" x14ac:dyDescent="0.3">
      <c r="O270">
        <v>269</v>
      </c>
      <c r="P270" t="s">
        <v>195</v>
      </c>
      <c r="Q270" t="s">
        <v>34</v>
      </c>
      <c r="R270">
        <v>1000</v>
      </c>
      <c r="S270">
        <v>917</v>
      </c>
      <c r="T270">
        <v>232</v>
      </c>
    </row>
    <row r="271" spans="15:20" x14ac:dyDescent="0.3">
      <c r="O271">
        <v>270</v>
      </c>
      <c r="P271" t="s">
        <v>195</v>
      </c>
      <c r="Q271" t="s">
        <v>37</v>
      </c>
      <c r="R271">
        <v>868</v>
      </c>
      <c r="S271">
        <v>1035</v>
      </c>
      <c r="T271">
        <v>249</v>
      </c>
    </row>
    <row r="272" spans="15:20" x14ac:dyDescent="0.3">
      <c r="O272">
        <v>271</v>
      </c>
      <c r="P272" t="s">
        <v>196</v>
      </c>
      <c r="Q272" t="s">
        <v>34</v>
      </c>
      <c r="R272">
        <v>903</v>
      </c>
      <c r="S272">
        <v>1000</v>
      </c>
      <c r="T272">
        <v>247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2160</v>
      </c>
    </row>
    <row r="274" spans="15:20" x14ac:dyDescent="0.3">
      <c r="O274">
        <v>273</v>
      </c>
      <c r="P274" t="s">
        <v>197</v>
      </c>
      <c r="Q274" t="s">
        <v>34</v>
      </c>
      <c r="R274">
        <v>426</v>
      </c>
      <c r="S274">
        <v>1125</v>
      </c>
      <c r="T274">
        <v>602</v>
      </c>
    </row>
    <row r="275" spans="15:20" x14ac:dyDescent="0.3">
      <c r="O275">
        <v>274</v>
      </c>
      <c r="P275" t="s">
        <v>197</v>
      </c>
      <c r="Q275" t="s">
        <v>37</v>
      </c>
      <c r="R275">
        <v>611</v>
      </c>
      <c r="S275">
        <v>1378</v>
      </c>
      <c r="T275">
        <v>157</v>
      </c>
    </row>
    <row r="276" spans="15:20" x14ac:dyDescent="0.3">
      <c r="O276">
        <v>275</v>
      </c>
      <c r="P276" t="s">
        <v>198</v>
      </c>
      <c r="Q276" t="s">
        <v>34</v>
      </c>
      <c r="R276">
        <v>812</v>
      </c>
      <c r="S276">
        <v>906</v>
      </c>
      <c r="T276">
        <v>435</v>
      </c>
    </row>
    <row r="277" spans="15:20" x14ac:dyDescent="0.3">
      <c r="O277">
        <v>276</v>
      </c>
      <c r="P277" t="s">
        <v>198</v>
      </c>
      <c r="Q277" t="s">
        <v>37</v>
      </c>
      <c r="R277">
        <v>533</v>
      </c>
      <c r="S277">
        <v>744</v>
      </c>
      <c r="T277">
        <v>876</v>
      </c>
    </row>
    <row r="278" spans="15:20" x14ac:dyDescent="0.3">
      <c r="O278">
        <v>277</v>
      </c>
      <c r="P278" t="s">
        <v>199</v>
      </c>
      <c r="Q278" t="s">
        <v>34</v>
      </c>
      <c r="R278">
        <v>651</v>
      </c>
      <c r="S278">
        <v>752</v>
      </c>
      <c r="T278">
        <v>750</v>
      </c>
    </row>
    <row r="279" spans="15:20" x14ac:dyDescent="0.3">
      <c r="O279">
        <v>278</v>
      </c>
      <c r="P279" t="s">
        <v>199</v>
      </c>
      <c r="Q279" t="s">
        <v>37</v>
      </c>
      <c r="R279">
        <v>460</v>
      </c>
      <c r="S279">
        <v>815</v>
      </c>
      <c r="T279">
        <v>877</v>
      </c>
    </row>
    <row r="280" spans="15:20" x14ac:dyDescent="0.3">
      <c r="O280">
        <v>279</v>
      </c>
      <c r="P280" t="s">
        <v>200</v>
      </c>
      <c r="Q280" t="s">
        <v>34</v>
      </c>
      <c r="R280">
        <v>742</v>
      </c>
      <c r="S280">
        <v>717</v>
      </c>
      <c r="T280">
        <v>692</v>
      </c>
    </row>
    <row r="281" spans="15:20" x14ac:dyDescent="0.3">
      <c r="O281">
        <v>280</v>
      </c>
      <c r="P281" t="s">
        <v>200</v>
      </c>
      <c r="Q281" t="s">
        <v>37</v>
      </c>
      <c r="R281">
        <v>733</v>
      </c>
      <c r="S281">
        <v>1419</v>
      </c>
      <c r="T281">
        <v>0</v>
      </c>
    </row>
    <row r="282" spans="15:20" x14ac:dyDescent="0.3">
      <c r="O282">
        <v>281</v>
      </c>
      <c r="P282" t="s">
        <v>201</v>
      </c>
      <c r="Q282" t="s">
        <v>34</v>
      </c>
      <c r="R282">
        <v>1402</v>
      </c>
      <c r="S282">
        <v>730</v>
      </c>
      <c r="T282">
        <v>18</v>
      </c>
    </row>
    <row r="283" spans="15:20" x14ac:dyDescent="0.3">
      <c r="O283">
        <v>282</v>
      </c>
      <c r="P283" t="s">
        <v>201</v>
      </c>
      <c r="Q283" t="s">
        <v>37</v>
      </c>
      <c r="R283">
        <v>696</v>
      </c>
      <c r="S283">
        <v>1336</v>
      </c>
      <c r="T283">
        <v>119</v>
      </c>
    </row>
    <row r="284" spans="15:20" x14ac:dyDescent="0.3">
      <c r="O284">
        <v>283</v>
      </c>
      <c r="P284" t="s">
        <v>202</v>
      </c>
      <c r="Q284" t="s">
        <v>34</v>
      </c>
      <c r="R284">
        <v>757</v>
      </c>
      <c r="S284">
        <v>1106</v>
      </c>
      <c r="T284">
        <v>292</v>
      </c>
    </row>
    <row r="285" spans="15:20" x14ac:dyDescent="0.3">
      <c r="O285">
        <v>284</v>
      </c>
      <c r="P285" t="s">
        <v>202</v>
      </c>
      <c r="Q285" t="s">
        <v>37</v>
      </c>
      <c r="R285">
        <v>564</v>
      </c>
      <c r="S285">
        <v>1098</v>
      </c>
      <c r="T285">
        <v>490</v>
      </c>
    </row>
    <row r="286" spans="15:20" x14ac:dyDescent="0.3">
      <c r="O286">
        <v>285</v>
      </c>
      <c r="P286" t="s">
        <v>203</v>
      </c>
      <c r="Q286" t="s">
        <v>34</v>
      </c>
      <c r="R286">
        <v>666</v>
      </c>
      <c r="S286">
        <v>1013</v>
      </c>
      <c r="T286">
        <v>476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2160</v>
      </c>
    </row>
    <row r="288" spans="15:20" x14ac:dyDescent="0.3">
      <c r="O288">
        <v>287</v>
      </c>
      <c r="P288" t="s">
        <v>204</v>
      </c>
      <c r="Q288" t="s">
        <v>34</v>
      </c>
      <c r="R288">
        <v>498</v>
      </c>
      <c r="S288">
        <v>1051</v>
      </c>
      <c r="T288">
        <v>603</v>
      </c>
    </row>
    <row r="289" spans="15:20" x14ac:dyDescent="0.3">
      <c r="O289">
        <v>288</v>
      </c>
      <c r="P289" t="s">
        <v>204</v>
      </c>
      <c r="Q289" t="s">
        <v>37</v>
      </c>
      <c r="R289">
        <v>664</v>
      </c>
      <c r="S289">
        <v>1330</v>
      </c>
      <c r="T289">
        <v>158</v>
      </c>
    </row>
    <row r="290" spans="15:20" x14ac:dyDescent="0.3">
      <c r="O290">
        <v>289</v>
      </c>
      <c r="P290" t="s">
        <v>205</v>
      </c>
      <c r="Q290" t="s">
        <v>34</v>
      </c>
      <c r="R290">
        <v>769</v>
      </c>
      <c r="S290">
        <v>1180</v>
      </c>
      <c r="T290">
        <v>205</v>
      </c>
    </row>
    <row r="291" spans="15:20" x14ac:dyDescent="0.3">
      <c r="O291">
        <v>290</v>
      </c>
      <c r="P291" t="s">
        <v>205</v>
      </c>
      <c r="Q291" t="s">
        <v>37</v>
      </c>
      <c r="R291">
        <v>667</v>
      </c>
      <c r="S291">
        <v>1185</v>
      </c>
      <c r="T291">
        <v>302</v>
      </c>
    </row>
    <row r="292" spans="15:20" x14ac:dyDescent="0.3">
      <c r="O292">
        <v>291</v>
      </c>
      <c r="P292" t="s">
        <v>206</v>
      </c>
      <c r="Q292" t="s">
        <v>34</v>
      </c>
      <c r="R292">
        <v>916</v>
      </c>
      <c r="S292">
        <v>814</v>
      </c>
      <c r="T292">
        <v>421</v>
      </c>
    </row>
    <row r="293" spans="15:20" x14ac:dyDescent="0.3">
      <c r="O293">
        <v>292</v>
      </c>
      <c r="P293" t="s">
        <v>206</v>
      </c>
      <c r="Q293" t="s">
        <v>37</v>
      </c>
      <c r="R293">
        <v>992</v>
      </c>
      <c r="S293">
        <v>1143</v>
      </c>
      <c r="T293">
        <v>16</v>
      </c>
    </row>
    <row r="294" spans="15:20" x14ac:dyDescent="0.3">
      <c r="O294">
        <v>293</v>
      </c>
      <c r="P294" t="s">
        <v>207</v>
      </c>
      <c r="Q294" t="s">
        <v>34</v>
      </c>
      <c r="R294">
        <v>1090</v>
      </c>
      <c r="S294">
        <v>1014</v>
      </c>
      <c r="T294">
        <v>46</v>
      </c>
    </row>
    <row r="295" spans="15:20" x14ac:dyDescent="0.3">
      <c r="O295">
        <v>294</v>
      </c>
      <c r="P295" t="s">
        <v>207</v>
      </c>
      <c r="Q295" t="s">
        <v>37</v>
      </c>
      <c r="R295">
        <v>527</v>
      </c>
      <c r="S295">
        <v>867</v>
      </c>
      <c r="T295">
        <v>757</v>
      </c>
    </row>
    <row r="296" spans="15:20" x14ac:dyDescent="0.3">
      <c r="O296">
        <v>295</v>
      </c>
      <c r="P296" t="s">
        <v>208</v>
      </c>
      <c r="Q296" t="s">
        <v>34</v>
      </c>
      <c r="R296">
        <v>610</v>
      </c>
      <c r="S296">
        <v>686</v>
      </c>
      <c r="T296">
        <v>853</v>
      </c>
    </row>
    <row r="297" spans="15:20" x14ac:dyDescent="0.3">
      <c r="O297">
        <v>296</v>
      </c>
      <c r="P297" t="s">
        <v>208</v>
      </c>
      <c r="Q297" t="s">
        <v>37</v>
      </c>
      <c r="R297">
        <v>1004</v>
      </c>
      <c r="S297">
        <v>990</v>
      </c>
      <c r="T297">
        <v>157</v>
      </c>
    </row>
    <row r="298" spans="15:20" x14ac:dyDescent="0.3">
      <c r="O298">
        <v>297</v>
      </c>
      <c r="P298" t="s">
        <v>209</v>
      </c>
      <c r="Q298" t="s">
        <v>34</v>
      </c>
      <c r="R298">
        <v>866</v>
      </c>
      <c r="S298">
        <v>1054</v>
      </c>
      <c r="T298">
        <v>234</v>
      </c>
    </row>
    <row r="299" spans="15:20" x14ac:dyDescent="0.3">
      <c r="O299">
        <v>298</v>
      </c>
      <c r="P299" t="s">
        <v>209</v>
      </c>
      <c r="Q299" t="s">
        <v>37</v>
      </c>
      <c r="R299">
        <v>441</v>
      </c>
      <c r="S299">
        <v>956</v>
      </c>
      <c r="T299">
        <v>757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2103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2160</v>
      </c>
    </row>
    <row r="302" spans="15:20" x14ac:dyDescent="0.3">
      <c r="O302">
        <v>301</v>
      </c>
      <c r="P302" t="s">
        <v>33</v>
      </c>
      <c r="Q302" t="s">
        <v>34</v>
      </c>
      <c r="R302">
        <v>513</v>
      </c>
      <c r="S302">
        <v>1035</v>
      </c>
      <c r="T302">
        <v>605</v>
      </c>
    </row>
    <row r="303" spans="15:20" x14ac:dyDescent="0.3">
      <c r="O303">
        <v>302</v>
      </c>
      <c r="P303" t="s">
        <v>33</v>
      </c>
      <c r="Q303" t="s">
        <v>37</v>
      </c>
      <c r="R303">
        <v>742</v>
      </c>
      <c r="S303">
        <v>1408</v>
      </c>
      <c r="T303">
        <v>0</v>
      </c>
    </row>
    <row r="304" spans="15:20" x14ac:dyDescent="0.3">
      <c r="O304">
        <v>303</v>
      </c>
      <c r="P304" t="s">
        <v>39</v>
      </c>
      <c r="Q304" t="s">
        <v>34</v>
      </c>
      <c r="R304">
        <v>961</v>
      </c>
      <c r="S304">
        <v>1192</v>
      </c>
      <c r="T304">
        <v>1</v>
      </c>
    </row>
    <row r="305" spans="15:20" x14ac:dyDescent="0.3">
      <c r="O305">
        <v>304</v>
      </c>
      <c r="P305" t="s">
        <v>39</v>
      </c>
      <c r="Q305" t="s">
        <v>37</v>
      </c>
      <c r="R305">
        <v>652</v>
      </c>
      <c r="S305">
        <v>1276</v>
      </c>
      <c r="T305">
        <v>223</v>
      </c>
    </row>
    <row r="306" spans="15:20" x14ac:dyDescent="0.3">
      <c r="O306">
        <v>305</v>
      </c>
      <c r="P306" t="s">
        <v>43</v>
      </c>
      <c r="Q306" t="s">
        <v>34</v>
      </c>
      <c r="R306">
        <v>635</v>
      </c>
      <c r="S306">
        <v>1112</v>
      </c>
      <c r="T306">
        <v>405</v>
      </c>
    </row>
    <row r="307" spans="15:20" x14ac:dyDescent="0.3">
      <c r="O307">
        <v>306</v>
      </c>
      <c r="P307" t="s">
        <v>43</v>
      </c>
      <c r="Q307" t="s">
        <v>37</v>
      </c>
      <c r="R307">
        <v>581</v>
      </c>
      <c r="S307">
        <v>1266</v>
      </c>
      <c r="T307">
        <v>298</v>
      </c>
    </row>
    <row r="308" spans="15:20" x14ac:dyDescent="0.3">
      <c r="O308">
        <v>307</v>
      </c>
      <c r="P308" t="s">
        <v>48</v>
      </c>
      <c r="Q308" t="s">
        <v>34</v>
      </c>
      <c r="R308">
        <v>934</v>
      </c>
      <c r="S308">
        <v>811</v>
      </c>
      <c r="T308">
        <v>404</v>
      </c>
    </row>
    <row r="309" spans="15:20" x14ac:dyDescent="0.3">
      <c r="O309">
        <v>308</v>
      </c>
      <c r="P309" t="s">
        <v>48</v>
      </c>
      <c r="Q309" t="s">
        <v>37</v>
      </c>
      <c r="R309">
        <v>564</v>
      </c>
      <c r="S309">
        <v>1423</v>
      </c>
      <c r="T309">
        <v>161</v>
      </c>
    </row>
    <row r="310" spans="15:20" x14ac:dyDescent="0.3">
      <c r="O310">
        <v>309</v>
      </c>
      <c r="P310" t="s">
        <v>52</v>
      </c>
      <c r="Q310" t="s">
        <v>34</v>
      </c>
      <c r="R310">
        <v>1117</v>
      </c>
      <c r="S310">
        <v>835</v>
      </c>
      <c r="T310">
        <v>200</v>
      </c>
    </row>
    <row r="311" spans="15:20" x14ac:dyDescent="0.3">
      <c r="O311">
        <v>310</v>
      </c>
      <c r="P311" t="s">
        <v>52</v>
      </c>
      <c r="Q311" t="s">
        <v>37</v>
      </c>
      <c r="R311">
        <v>596</v>
      </c>
      <c r="S311">
        <v>1391</v>
      </c>
      <c r="T311">
        <v>164</v>
      </c>
    </row>
    <row r="312" spans="15:20" x14ac:dyDescent="0.3">
      <c r="O312">
        <v>311</v>
      </c>
      <c r="P312" t="s">
        <v>56</v>
      </c>
      <c r="Q312" t="s">
        <v>34</v>
      </c>
      <c r="R312">
        <v>1163</v>
      </c>
      <c r="S312">
        <v>526</v>
      </c>
      <c r="T312">
        <v>466</v>
      </c>
    </row>
    <row r="313" spans="15:20" x14ac:dyDescent="0.3">
      <c r="O313">
        <v>312</v>
      </c>
      <c r="P313" t="s">
        <v>56</v>
      </c>
      <c r="Q313" t="s">
        <v>37</v>
      </c>
      <c r="R313">
        <v>504</v>
      </c>
      <c r="S313">
        <v>970</v>
      </c>
      <c r="T313">
        <v>679</v>
      </c>
    </row>
    <row r="314" spans="15:20" x14ac:dyDescent="0.3">
      <c r="O314">
        <v>313</v>
      </c>
      <c r="P314" t="s">
        <v>60</v>
      </c>
      <c r="Q314" t="s">
        <v>34</v>
      </c>
      <c r="R314">
        <v>581</v>
      </c>
      <c r="S314">
        <v>664</v>
      </c>
      <c r="T314">
        <v>908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2160</v>
      </c>
    </row>
    <row r="316" spans="15:20" x14ac:dyDescent="0.3">
      <c r="O316">
        <v>315</v>
      </c>
      <c r="P316" t="s">
        <v>62</v>
      </c>
      <c r="Q316" t="s">
        <v>34</v>
      </c>
      <c r="R316">
        <v>671</v>
      </c>
      <c r="S316">
        <v>877</v>
      </c>
      <c r="T316">
        <v>602</v>
      </c>
    </row>
    <row r="317" spans="15:20" x14ac:dyDescent="0.3">
      <c r="O317">
        <v>316</v>
      </c>
      <c r="P317" t="s">
        <v>62</v>
      </c>
      <c r="Q317" t="s">
        <v>37</v>
      </c>
      <c r="R317">
        <v>737</v>
      </c>
      <c r="S317">
        <v>1416</v>
      </c>
      <c r="T317">
        <v>0</v>
      </c>
    </row>
    <row r="318" spans="15:20" x14ac:dyDescent="0.3">
      <c r="O318">
        <v>317</v>
      </c>
      <c r="P318" t="s">
        <v>64</v>
      </c>
      <c r="Q318" t="s">
        <v>34</v>
      </c>
      <c r="R318">
        <v>1075</v>
      </c>
      <c r="S318">
        <v>1075</v>
      </c>
      <c r="T318">
        <v>0</v>
      </c>
    </row>
    <row r="319" spans="15:20" x14ac:dyDescent="0.3">
      <c r="O319">
        <v>318</v>
      </c>
      <c r="P319" t="s">
        <v>64</v>
      </c>
      <c r="Q319" t="s">
        <v>37</v>
      </c>
      <c r="R319">
        <v>538</v>
      </c>
      <c r="S319">
        <v>1339</v>
      </c>
      <c r="T319">
        <v>275</v>
      </c>
    </row>
    <row r="320" spans="15:20" x14ac:dyDescent="0.3">
      <c r="O320">
        <v>319</v>
      </c>
      <c r="P320" t="s">
        <v>66</v>
      </c>
      <c r="Q320" t="s">
        <v>34</v>
      </c>
      <c r="R320">
        <v>613</v>
      </c>
      <c r="S320">
        <v>1134</v>
      </c>
      <c r="T320">
        <v>404</v>
      </c>
    </row>
    <row r="321" spans="15:20" x14ac:dyDescent="0.3">
      <c r="O321">
        <v>320</v>
      </c>
      <c r="P321" t="s">
        <v>66</v>
      </c>
      <c r="Q321" t="s">
        <v>37</v>
      </c>
      <c r="R321">
        <v>645</v>
      </c>
      <c r="S321">
        <v>1219</v>
      </c>
      <c r="T321">
        <v>285</v>
      </c>
    </row>
    <row r="322" spans="15:20" x14ac:dyDescent="0.3">
      <c r="O322">
        <v>321</v>
      </c>
      <c r="P322" t="s">
        <v>68</v>
      </c>
      <c r="Q322" t="s">
        <v>34</v>
      </c>
      <c r="R322">
        <v>664</v>
      </c>
      <c r="S322">
        <v>1086</v>
      </c>
      <c r="T322">
        <v>399</v>
      </c>
    </row>
    <row r="323" spans="15:20" x14ac:dyDescent="0.3">
      <c r="O323">
        <v>322</v>
      </c>
      <c r="P323" t="s">
        <v>68</v>
      </c>
      <c r="Q323" t="s">
        <v>37</v>
      </c>
      <c r="R323">
        <v>562</v>
      </c>
      <c r="S323">
        <v>1294</v>
      </c>
      <c r="T323">
        <v>295</v>
      </c>
    </row>
    <row r="324" spans="15:20" x14ac:dyDescent="0.3">
      <c r="O324">
        <v>323</v>
      </c>
      <c r="P324" t="s">
        <v>70</v>
      </c>
      <c r="Q324" t="s">
        <v>34</v>
      </c>
      <c r="R324">
        <v>581</v>
      </c>
      <c r="S324">
        <v>1160</v>
      </c>
      <c r="T324">
        <v>411</v>
      </c>
    </row>
    <row r="325" spans="15:20" x14ac:dyDescent="0.3">
      <c r="O325">
        <v>324</v>
      </c>
      <c r="P325" t="s">
        <v>70</v>
      </c>
      <c r="Q325" t="s">
        <v>37</v>
      </c>
      <c r="R325">
        <v>421</v>
      </c>
      <c r="S325">
        <v>1344</v>
      </c>
      <c r="T325">
        <v>387</v>
      </c>
    </row>
    <row r="326" spans="15:20" x14ac:dyDescent="0.3">
      <c r="O326">
        <v>325</v>
      </c>
      <c r="P326" t="s">
        <v>72</v>
      </c>
      <c r="Q326" t="s">
        <v>34</v>
      </c>
      <c r="R326">
        <v>671</v>
      </c>
      <c r="S326">
        <v>1022</v>
      </c>
      <c r="T326">
        <v>458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T326"/>
  <sheetViews>
    <sheetView zoomScale="115" zoomScaleNormal="115" workbookViewId="0">
      <selection activeCell="A2" sqref="A2:F5"/>
    </sheetView>
  </sheetViews>
  <sheetFormatPr defaultRowHeight="14.4" x14ac:dyDescent="0.3"/>
  <cols>
    <col min="1" max="1" width="3" bestFit="1" customWidth="1"/>
    <col min="2" max="2" width="11.88671875" bestFit="1" customWidth="1"/>
    <col min="3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750</v>
      </c>
      <c r="E2">
        <v>797</v>
      </c>
      <c r="F2">
        <v>608</v>
      </c>
      <c r="H2" t="s">
        <v>35</v>
      </c>
      <c r="I2" s="1">
        <v>0.39529411764705891</v>
      </c>
      <c r="J2" s="1">
        <v>0.40673684210526317</v>
      </c>
      <c r="K2" s="1">
        <f>IFERROR(SUMIFS(S:S,P:P,"*/01/2026")/(SUMIFS(R:R,P:P,"*/01/2026")+SUMIFS(S:S,P:P,"*/01/2026")+SUMIFS(T:T,P:P,"*/01/2026")),"")</f>
        <v>0.28675966844589662</v>
      </c>
      <c r="L2" s="1">
        <f>IFERROR(SUMIFS(R:R,P:P,"*/01/2026")/(SUMIFS(R:R,P:P,"*/01/2026")+SUMIFS(S:S,P:P,"*/01/2026")+SUMIFS(T:T,P:P,"*/01/2026")),"")</f>
        <v>0.26251044576109134</v>
      </c>
      <c r="M2" s="1">
        <f>IFERROR(SUMIFS(T:T,P:P,"*/01/2026")/(SUMIFS(R:R,P:P,"*/01/2026")+SUMIFS(S:S,P:P,"*/01/2026")+SUMIFS(T:T,P:P,"*/01/2026")),"")</f>
        <v>0.45072988579301204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876</v>
      </c>
      <c r="E3">
        <v>693</v>
      </c>
      <c r="F3">
        <v>588</v>
      </c>
      <c r="H3" t="s">
        <v>38</v>
      </c>
      <c r="I3" s="1">
        <v>0.39529411764705891</v>
      </c>
      <c r="J3" s="1">
        <v>0.40673684210526317</v>
      </c>
      <c r="K3" s="1">
        <f>IFERROR(SUMIFS(S:S,P:P,"*/02/2026")/(SUMIFS(R:R,P:P,"*/02/2026")+SUMIFS(S:S,P:P,"*/02/2026")+SUMIFS(T:T,P:P,"*/02/2026")),"")</f>
        <v>0.20448487657897788</v>
      </c>
      <c r="L3" s="1">
        <f>IFERROR(SUMIFS(R:R,P:P,"*/02/2026")/(SUMIFS(R:R,P:P,"*/02/2026")+SUMIFS(S:S,P:P,"*/02/2026")+SUMIFS(T:T,P:P,"*/02/2026")),"")</f>
        <v>0.19157161068158865</v>
      </c>
      <c r="M3" s="1">
        <f>IFERROR(SUMIFS(T:T,P:P,"*/02/2026")/(SUMIFS(R:R,P:P,"*/02/2026")+SUMIFS(S:S,P:P,"*/02/2026")+SUMIFS(T:T,P:P,"*/02/2026")),"")</f>
        <v>0.60394351273943347</v>
      </c>
      <c r="O3">
        <v>2</v>
      </c>
      <c r="P3" t="s">
        <v>36</v>
      </c>
      <c r="Q3" t="s">
        <v>37</v>
      </c>
      <c r="R3">
        <v>82</v>
      </c>
      <c r="S3">
        <v>114</v>
      </c>
      <c r="T3">
        <v>1961</v>
      </c>
    </row>
    <row r="4" spans="1:20" x14ac:dyDescent="0.3">
      <c r="A4">
        <v>3</v>
      </c>
      <c r="B4" t="s">
        <v>39</v>
      </c>
      <c r="C4" t="s">
        <v>34</v>
      </c>
      <c r="D4">
        <v>714</v>
      </c>
      <c r="E4">
        <v>808</v>
      </c>
      <c r="F4">
        <v>631</v>
      </c>
      <c r="H4" t="s">
        <v>40</v>
      </c>
      <c r="I4" s="1">
        <v>0.39529411764705891</v>
      </c>
      <c r="J4" s="1">
        <v>0.40673684210526317</v>
      </c>
      <c r="K4" s="1">
        <f>IFERROR(SUMIFS(S:S,P:P,"*/03/2026")/(SUMIFS(R:R,P:P,"*/03/2026")+SUMIFS(S:S,P:P,"*/03/2026")+SUMIFS(T:T,P:P,"*/03/2026")),"")</f>
        <v>0.3069794997607419</v>
      </c>
      <c r="L4" s="1">
        <f>IFERROR(SUMIFS(R:R,P:P,"*/03/2026")/(SUMIFS(R:R,P:P,"*/03/2026")+SUMIFS(S:S,P:P,"*/03/2026")+SUMIFS(T:T,P:P,"*/03/2026")),"")</f>
        <v>0.26010010861556926</v>
      </c>
      <c r="M4" s="1">
        <f>IFERROR(SUMIFS(T:T,P:P,"*/03/2026")/(SUMIFS(R:R,P:P,"*/03/2026")+SUMIFS(S:S,P:P,"*/03/2026")+SUMIFS(T:T,P:P,"*/03/2026")),"")</f>
        <v>0.43292039162368884</v>
      </c>
      <c r="O4">
        <v>3</v>
      </c>
      <c r="P4" t="s">
        <v>41</v>
      </c>
      <c r="Q4" t="s">
        <v>34</v>
      </c>
      <c r="R4">
        <v>890</v>
      </c>
      <c r="S4">
        <v>950</v>
      </c>
      <c r="T4">
        <v>313</v>
      </c>
    </row>
    <row r="5" spans="1:20" x14ac:dyDescent="0.3">
      <c r="A5">
        <v>4</v>
      </c>
      <c r="B5" t="s">
        <v>39</v>
      </c>
      <c r="C5" t="s">
        <v>37</v>
      </c>
      <c r="D5">
        <v>843</v>
      </c>
      <c r="E5">
        <v>637</v>
      </c>
      <c r="F5">
        <v>676</v>
      </c>
      <c r="H5" t="s">
        <v>42</v>
      </c>
      <c r="I5" s="1">
        <v>0.39529411764705891</v>
      </c>
      <c r="J5" s="1">
        <v>0.40673684210526317</v>
      </c>
      <c r="K5" s="1">
        <f>IFERROR(SUMIFS(S:S,P:P,"*/04/2026")/(SUMIFS(R:R,P:P,"*/04/2026")+SUMIFS(S:S,P:P,"*/04/2026")+SUMIFS(T:T,P:P,"*/04/2026")),"")</f>
        <v>0.30016697846287049</v>
      </c>
      <c r="L5" s="1">
        <f>IFERROR(SUMIFS(R:R,P:P,"*/04/2026")/(SUMIFS(R:R,P:P,"*/04/2026")+SUMIFS(S:S,P:P,"*/04/2026")+SUMIFS(T:T,P:P,"*/04/2026")),"")</f>
        <v>0.25786576786901466</v>
      </c>
      <c r="M5" s="1">
        <f>IFERROR(SUMIFS(T:T,P:P,"*/04/2026")/(SUMIFS(R:R,P:P,"*/04/2026")+SUMIFS(S:S,P:P,"*/04/2026")+SUMIFS(T:T,P:P,"*/04/2026")),"")</f>
        <v>0.44196725366811485</v>
      </c>
      <c r="O5">
        <v>4</v>
      </c>
      <c r="P5" t="s">
        <v>41</v>
      </c>
      <c r="Q5" t="s">
        <v>37</v>
      </c>
      <c r="R5">
        <v>303</v>
      </c>
      <c r="S5">
        <v>485</v>
      </c>
      <c r="T5">
        <v>1369</v>
      </c>
    </row>
    <row r="6" spans="1:20" x14ac:dyDescent="0.3">
      <c r="A6">
        <v>5</v>
      </c>
      <c r="B6" t="s">
        <v>43</v>
      </c>
      <c r="C6" t="s">
        <v>34</v>
      </c>
      <c r="D6">
        <v>787</v>
      </c>
      <c r="E6">
        <v>756</v>
      </c>
      <c r="F6">
        <v>611</v>
      </c>
      <c r="H6" t="s">
        <v>44</v>
      </c>
      <c r="I6" s="1">
        <v>0.39529411764705891</v>
      </c>
      <c r="J6" s="1">
        <v>0.40673684210526317</v>
      </c>
      <c r="K6" s="1">
        <f>IFERROR(SUMIFS(S:S,P:P,"*/05/2026")/(SUMIFS(R:R,P:P,"*/05/2026")+SUMIFS(S:S,P:P,"*/05/2026")+SUMIFS(T:T,P:P,"*/05/2026")),"")</f>
        <v>0.31332300252281386</v>
      </c>
      <c r="L6" s="1">
        <f>IFERROR(SUMIFS(R:R,P:P,"*/05/2026")/(SUMIFS(R:R,P:P,"*/05/2026")+SUMIFS(S:S,P:P,"*/05/2026")+SUMIFS(T:T,P:P,"*/05/2026")),"")</f>
        <v>0.25648108638204536</v>
      </c>
      <c r="M6" s="1">
        <f>IFERROR(SUMIFS(T:T,P:P,"*/05/2026")/(SUMIFS(R:R,P:P,"*/05/2026")+SUMIFS(S:S,P:P,"*/05/2026")+SUMIFS(T:T,P:P,"*/05/2026")),"")</f>
        <v>0.43019591109514077</v>
      </c>
      <c r="O6">
        <v>5</v>
      </c>
      <c r="P6" t="s">
        <v>45</v>
      </c>
      <c r="Q6" t="s">
        <v>37</v>
      </c>
      <c r="R6">
        <v>1709</v>
      </c>
      <c r="S6">
        <v>1241</v>
      </c>
      <c r="T6">
        <v>552</v>
      </c>
    </row>
    <row r="7" spans="1:20" x14ac:dyDescent="0.3">
      <c r="A7">
        <v>6</v>
      </c>
      <c r="B7" t="s">
        <v>43</v>
      </c>
      <c r="C7" t="s">
        <v>37</v>
      </c>
      <c r="D7">
        <v>621</v>
      </c>
      <c r="E7">
        <v>1025</v>
      </c>
      <c r="F7">
        <v>507</v>
      </c>
      <c r="H7" t="s">
        <v>46</v>
      </c>
      <c r="I7" s="1">
        <v>0.39529411764705891</v>
      </c>
      <c r="J7" s="1">
        <v>0.40673684210526317</v>
      </c>
      <c r="K7" s="1">
        <f>IFERROR(SUMIFS(S:S,P:P,"*/06/2026")/(SUMIFS(R:R,P:P,"*/06/2026")+SUMIFS(S:S,P:P,"*/06/2026")+SUMIFS(T:T,P:P,"*/06/2026")),"")</f>
        <v>0.3409736270670552</v>
      </c>
      <c r="L7" s="1">
        <f>IFERROR(SUMIFS(R:R,P:P,"*/06/2026")/(SUMIFS(R:R,P:P,"*/06/2026")+SUMIFS(S:S,P:P,"*/06/2026")+SUMIFS(T:T,P:P,"*/06/2026")),"")</f>
        <v>0.28150925186986137</v>
      </c>
      <c r="M7" s="1">
        <f>IFERROR(SUMIFS(T:T,P:P,"*/06/2026")/(SUMIFS(R:R,P:P,"*/06/2026")+SUMIFS(S:S,P:P,"*/06/2026")+SUMIFS(T:T,P:P,"*/06/2026")),"")</f>
        <v>0.37751712106308344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465</v>
      </c>
      <c r="E8">
        <v>563</v>
      </c>
      <c r="F8">
        <v>1127</v>
      </c>
      <c r="H8" t="s">
        <v>49</v>
      </c>
      <c r="I8" s="1">
        <v>0.39529411764705891</v>
      </c>
      <c r="J8" s="1">
        <v>0.40673684210526317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852</v>
      </c>
      <c r="E9">
        <v>714</v>
      </c>
      <c r="F9">
        <v>589</v>
      </c>
      <c r="H9" t="s">
        <v>50</v>
      </c>
      <c r="I9" s="1">
        <v>0.39529411764705891</v>
      </c>
      <c r="J9" s="1">
        <v>0.40673684210526317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400</v>
      </c>
      <c r="S9">
        <v>633</v>
      </c>
      <c r="T9">
        <v>1123</v>
      </c>
    </row>
    <row r="10" spans="1:20" x14ac:dyDescent="0.3">
      <c r="A10">
        <v>9</v>
      </c>
      <c r="B10" t="s">
        <v>52</v>
      </c>
      <c r="C10" t="s">
        <v>34</v>
      </c>
      <c r="D10">
        <v>459</v>
      </c>
      <c r="E10">
        <v>565</v>
      </c>
      <c r="F10">
        <v>1133</v>
      </c>
      <c r="H10" t="s">
        <v>53</v>
      </c>
      <c r="I10" s="1">
        <v>0.39529411764705891</v>
      </c>
      <c r="J10" s="1">
        <v>0.40673684210526317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957</v>
      </c>
      <c r="S10">
        <v>692</v>
      </c>
      <c r="T10">
        <v>480</v>
      </c>
    </row>
    <row r="11" spans="1:20" x14ac:dyDescent="0.3">
      <c r="A11">
        <v>10</v>
      </c>
      <c r="B11" t="s">
        <v>52</v>
      </c>
      <c r="C11" t="s">
        <v>37</v>
      </c>
      <c r="D11">
        <v>704</v>
      </c>
      <c r="E11">
        <v>831</v>
      </c>
      <c r="F11">
        <v>618</v>
      </c>
      <c r="H11" t="s">
        <v>54</v>
      </c>
      <c r="I11" s="1">
        <v>0.39529411764705891</v>
      </c>
      <c r="J11" s="1">
        <v>0.40673684210526317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373</v>
      </c>
      <c r="S11">
        <v>644</v>
      </c>
      <c r="T11">
        <v>1140</v>
      </c>
    </row>
    <row r="12" spans="1:20" x14ac:dyDescent="0.3">
      <c r="A12">
        <v>11</v>
      </c>
      <c r="B12" t="s">
        <v>56</v>
      </c>
      <c r="C12" t="s">
        <v>34</v>
      </c>
      <c r="D12">
        <v>665</v>
      </c>
      <c r="E12">
        <v>754</v>
      </c>
      <c r="F12">
        <v>737</v>
      </c>
      <c r="H12" t="s">
        <v>57</v>
      </c>
      <c r="I12" s="1">
        <v>0.39529411764705891</v>
      </c>
      <c r="J12" s="1">
        <v>0.40673684210526317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863</v>
      </c>
      <c r="S12">
        <v>799</v>
      </c>
      <c r="T12">
        <v>492</v>
      </c>
    </row>
    <row r="13" spans="1:20" x14ac:dyDescent="0.3">
      <c r="A13">
        <v>12</v>
      </c>
      <c r="B13" t="s">
        <v>56</v>
      </c>
      <c r="C13" t="s">
        <v>37</v>
      </c>
      <c r="D13">
        <v>515</v>
      </c>
      <c r="E13">
        <v>867</v>
      </c>
      <c r="F13">
        <v>775</v>
      </c>
      <c r="H13" t="s">
        <v>58</v>
      </c>
      <c r="I13" s="1">
        <v>0.39529411764705891</v>
      </c>
      <c r="J13" s="1">
        <v>0.40673684210526317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169</v>
      </c>
      <c r="S13">
        <v>199</v>
      </c>
      <c r="T13">
        <v>1789</v>
      </c>
    </row>
    <row r="14" spans="1:20" x14ac:dyDescent="0.3">
      <c r="A14">
        <v>13</v>
      </c>
      <c r="B14" t="s">
        <v>60</v>
      </c>
      <c r="C14" t="s">
        <v>34</v>
      </c>
      <c r="D14">
        <v>0</v>
      </c>
      <c r="E14">
        <v>0</v>
      </c>
      <c r="F14">
        <v>2160</v>
      </c>
      <c r="H14" t="str">
        <f>IF(B2="","",TEXT(B2,"dd/mm")&amp; "-" &amp;IF(UPPER(TRIM(C2))="CN",1,IF(UPPER(TRIM(C2))="CD",2,"")))</f>
        <v>01/06-1</v>
      </c>
      <c r="I14" s="1">
        <v>0.39529411764705891</v>
      </c>
      <c r="J14" s="1">
        <v>0.40673684210526317</v>
      </c>
      <c r="K14" s="1">
        <f t="shared" ref="K14:K45" si="0">IFERROR($E2/SUM($D2:$F2),"")</f>
        <v>0.36983758700696057</v>
      </c>
      <c r="L14" s="1">
        <f t="shared" ref="L14:L45" si="1">IFERROR($D2/SUM($D2:$F2),"")</f>
        <v>0.3480278422273782</v>
      </c>
      <c r="M14" s="1">
        <f t="shared" ref="M14:M45" si="2">IFERROR($F2/SUM($D2:$F2),"")</f>
        <v>0.28213457076566123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2160</v>
      </c>
      <c r="H15" t="str">
        <f t="shared" ref="H15:H46" si="3">IF(B3="","",TEXT(B3,"dd/mm") &amp; "-" &amp; IF(UPPER(TRIM(C3))="CN",1,IF(UPPER(TRIM(C3))="CD",2,"")))</f>
        <v>01/06-2</v>
      </c>
      <c r="I15" s="1">
        <v>0.39529411764705891</v>
      </c>
      <c r="J15" s="1">
        <v>0.40673684210526317</v>
      </c>
      <c r="K15" s="1">
        <f t="shared" si="0"/>
        <v>0.32127955493741306</v>
      </c>
      <c r="L15" s="1">
        <f t="shared" si="1"/>
        <v>0.40611961057023643</v>
      </c>
      <c r="M15" s="1">
        <f t="shared" si="2"/>
        <v>0.27260083449235051</v>
      </c>
      <c r="O15">
        <v>14</v>
      </c>
      <c r="P15" t="s">
        <v>61</v>
      </c>
      <c r="Q15" t="s">
        <v>34</v>
      </c>
      <c r="R15">
        <v>640</v>
      </c>
      <c r="S15">
        <v>879</v>
      </c>
      <c r="T15">
        <v>635</v>
      </c>
    </row>
    <row r="16" spans="1:20" x14ac:dyDescent="0.3">
      <c r="A16">
        <v>15</v>
      </c>
      <c r="B16" t="s">
        <v>62</v>
      </c>
      <c r="C16" t="s">
        <v>34</v>
      </c>
      <c r="D16">
        <v>557</v>
      </c>
      <c r="E16">
        <v>963</v>
      </c>
      <c r="F16">
        <v>635</v>
      </c>
      <c r="H16" t="str">
        <f t="shared" si="3"/>
        <v>02/06-1</v>
      </c>
      <c r="I16" s="1">
        <v>0.39529411764705891</v>
      </c>
      <c r="J16" s="1">
        <v>0.40673684210526317</v>
      </c>
      <c r="K16" s="1">
        <f t="shared" si="0"/>
        <v>0.37529029261495589</v>
      </c>
      <c r="L16" s="1">
        <f t="shared" si="1"/>
        <v>0.33163028332559219</v>
      </c>
      <c r="M16" s="1">
        <f t="shared" si="2"/>
        <v>0.29307942405945192</v>
      </c>
      <c r="O16">
        <v>15</v>
      </c>
      <c r="P16" t="s">
        <v>61</v>
      </c>
      <c r="Q16" t="s">
        <v>37</v>
      </c>
      <c r="R16">
        <v>879</v>
      </c>
      <c r="S16">
        <v>800</v>
      </c>
      <c r="T16">
        <v>474</v>
      </c>
    </row>
    <row r="17" spans="1:20" x14ac:dyDescent="0.3">
      <c r="A17">
        <v>16</v>
      </c>
      <c r="B17" t="s">
        <v>62</v>
      </c>
      <c r="C17" t="s">
        <v>37</v>
      </c>
      <c r="D17">
        <v>665</v>
      </c>
      <c r="E17">
        <v>988</v>
      </c>
      <c r="F17">
        <v>501</v>
      </c>
      <c r="H17" t="str">
        <f t="shared" si="3"/>
        <v>02/06-2</v>
      </c>
      <c r="I17" s="1">
        <v>0.39529411764705891</v>
      </c>
      <c r="J17" s="1">
        <v>0.40673684210526317</v>
      </c>
      <c r="K17" s="1">
        <f t="shared" si="0"/>
        <v>0.29545454545454547</v>
      </c>
      <c r="L17" s="1">
        <f t="shared" si="1"/>
        <v>0.39100185528756959</v>
      </c>
      <c r="M17" s="1">
        <f t="shared" si="2"/>
        <v>0.313543599257885</v>
      </c>
      <c r="O17">
        <v>16</v>
      </c>
      <c r="P17" t="s">
        <v>63</v>
      </c>
      <c r="Q17" t="s">
        <v>34</v>
      </c>
      <c r="R17">
        <v>720</v>
      </c>
      <c r="S17">
        <v>800</v>
      </c>
      <c r="T17">
        <v>637</v>
      </c>
    </row>
    <row r="18" spans="1:20" x14ac:dyDescent="0.3">
      <c r="A18">
        <v>17</v>
      </c>
      <c r="B18" t="s">
        <v>64</v>
      </c>
      <c r="C18" t="s">
        <v>34</v>
      </c>
      <c r="D18">
        <v>439</v>
      </c>
      <c r="E18">
        <v>1085</v>
      </c>
      <c r="F18">
        <v>629</v>
      </c>
      <c r="H18" t="str">
        <f t="shared" si="3"/>
        <v>03/06-1</v>
      </c>
      <c r="I18" s="1">
        <v>0.39529411764705891</v>
      </c>
      <c r="J18" s="1">
        <v>0.40673684210526317</v>
      </c>
      <c r="K18" s="1">
        <f t="shared" si="0"/>
        <v>0.35097493036211697</v>
      </c>
      <c r="L18" s="1">
        <f t="shared" si="1"/>
        <v>0.36536675951717734</v>
      </c>
      <c r="M18" s="1">
        <f t="shared" si="2"/>
        <v>0.28365831012070564</v>
      </c>
      <c r="O18">
        <v>17</v>
      </c>
      <c r="P18" t="s">
        <v>63</v>
      </c>
      <c r="Q18" t="s">
        <v>37</v>
      </c>
      <c r="R18">
        <v>833</v>
      </c>
      <c r="S18">
        <v>831</v>
      </c>
      <c r="T18">
        <v>488</v>
      </c>
    </row>
    <row r="19" spans="1:20" x14ac:dyDescent="0.3">
      <c r="A19">
        <v>18</v>
      </c>
      <c r="B19" t="s">
        <v>64</v>
      </c>
      <c r="C19" t="s">
        <v>37</v>
      </c>
      <c r="D19">
        <v>678</v>
      </c>
      <c r="E19">
        <v>793</v>
      </c>
      <c r="F19">
        <v>683</v>
      </c>
      <c r="H19" t="str">
        <f t="shared" si="3"/>
        <v>03/06-2</v>
      </c>
      <c r="I19" s="1">
        <v>0.39529411764705891</v>
      </c>
      <c r="J19" s="1">
        <v>0.40673684210526317</v>
      </c>
      <c r="K19" s="1">
        <f t="shared" si="0"/>
        <v>0.47607988852763583</v>
      </c>
      <c r="L19" s="1">
        <f t="shared" si="1"/>
        <v>0.28843474222015791</v>
      </c>
      <c r="M19" s="1">
        <f t="shared" si="2"/>
        <v>0.23548536925220623</v>
      </c>
      <c r="O19">
        <v>18</v>
      </c>
      <c r="P19" t="s">
        <v>65</v>
      </c>
      <c r="Q19" t="s">
        <v>34</v>
      </c>
      <c r="R19">
        <v>429</v>
      </c>
      <c r="S19">
        <v>524</v>
      </c>
      <c r="T19">
        <v>1202</v>
      </c>
    </row>
    <row r="20" spans="1:20" x14ac:dyDescent="0.3">
      <c r="A20">
        <v>19</v>
      </c>
      <c r="B20" t="s">
        <v>66</v>
      </c>
      <c r="C20" t="s">
        <v>34</v>
      </c>
      <c r="D20">
        <v>680</v>
      </c>
      <c r="E20">
        <v>835</v>
      </c>
      <c r="F20">
        <v>638</v>
      </c>
      <c r="H20" t="str">
        <f t="shared" si="3"/>
        <v>04/06-1</v>
      </c>
      <c r="I20" s="1">
        <v>0.39529411764705891</v>
      </c>
      <c r="J20" s="1">
        <v>0.40673684210526317</v>
      </c>
      <c r="K20" s="1">
        <f t="shared" si="0"/>
        <v>0.26125290023201858</v>
      </c>
      <c r="L20" s="1">
        <f t="shared" si="1"/>
        <v>0.21577726218097448</v>
      </c>
      <c r="M20" s="1">
        <f t="shared" si="2"/>
        <v>0.52296983758700699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2160</v>
      </c>
    </row>
    <row r="21" spans="1:20" x14ac:dyDescent="0.3">
      <c r="A21">
        <v>20</v>
      </c>
      <c r="B21" t="s">
        <v>66</v>
      </c>
      <c r="C21" t="s">
        <v>37</v>
      </c>
      <c r="D21">
        <v>715</v>
      </c>
      <c r="E21">
        <v>764</v>
      </c>
      <c r="F21">
        <v>676</v>
      </c>
      <c r="H21" t="str">
        <f t="shared" si="3"/>
        <v>04/06-2</v>
      </c>
      <c r="I21" s="1">
        <v>0.39529411764705891</v>
      </c>
      <c r="J21" s="1">
        <v>0.40673684210526317</v>
      </c>
      <c r="K21" s="1">
        <f t="shared" si="0"/>
        <v>0.33132250580046402</v>
      </c>
      <c r="L21" s="1">
        <f t="shared" si="1"/>
        <v>0.39535962877030162</v>
      </c>
      <c r="M21" s="1">
        <f t="shared" si="2"/>
        <v>0.27331786542923436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A22">
        <v>21</v>
      </c>
      <c r="B22" t="s">
        <v>68</v>
      </c>
      <c r="C22" t="s">
        <v>34</v>
      </c>
      <c r="D22">
        <v>614</v>
      </c>
      <c r="E22">
        <v>911</v>
      </c>
      <c r="F22">
        <v>631</v>
      </c>
      <c r="H22" t="str">
        <f t="shared" si="3"/>
        <v>05/06-1</v>
      </c>
      <c r="I22" s="1">
        <v>0.39529411764705891</v>
      </c>
      <c r="J22" s="1">
        <v>0.40673684210526317</v>
      </c>
      <c r="K22" s="1">
        <f t="shared" si="0"/>
        <v>0.26193787668057489</v>
      </c>
      <c r="L22" s="1">
        <f t="shared" si="1"/>
        <v>0.21279554937413073</v>
      </c>
      <c r="M22" s="1">
        <f t="shared" si="2"/>
        <v>0.52526657394529441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2161</v>
      </c>
    </row>
    <row r="23" spans="1:20" x14ac:dyDescent="0.3">
      <c r="A23">
        <v>22</v>
      </c>
      <c r="B23" t="s">
        <v>68</v>
      </c>
      <c r="C23" t="s">
        <v>37</v>
      </c>
      <c r="D23">
        <v>886</v>
      </c>
      <c r="E23">
        <v>764</v>
      </c>
      <c r="F23">
        <v>503</v>
      </c>
      <c r="H23" t="str">
        <f t="shared" si="3"/>
        <v>05/06-2</v>
      </c>
      <c r="I23" s="1">
        <v>0.39529411764705891</v>
      </c>
      <c r="J23" s="1">
        <v>0.40673684210526317</v>
      </c>
      <c r="K23" s="1">
        <f t="shared" si="0"/>
        <v>0.38597306084533212</v>
      </c>
      <c r="L23" s="1">
        <f t="shared" si="1"/>
        <v>0.32698560148629818</v>
      </c>
      <c r="M23" s="1">
        <f t="shared" si="2"/>
        <v>0.2870413376683697</v>
      </c>
      <c r="O23">
        <v>22</v>
      </c>
      <c r="P23" t="s">
        <v>69</v>
      </c>
      <c r="Q23" t="s">
        <v>34</v>
      </c>
      <c r="R23">
        <v>787</v>
      </c>
      <c r="S23">
        <v>740</v>
      </c>
      <c r="T23">
        <v>627</v>
      </c>
    </row>
    <row r="24" spans="1:20" x14ac:dyDescent="0.3">
      <c r="A24">
        <v>23</v>
      </c>
      <c r="B24" t="s">
        <v>70</v>
      </c>
      <c r="C24" t="s">
        <v>34</v>
      </c>
      <c r="D24">
        <v>501</v>
      </c>
      <c r="E24">
        <v>989</v>
      </c>
      <c r="F24">
        <v>667</v>
      </c>
      <c r="H24" t="str">
        <f t="shared" si="3"/>
        <v>06/06-1</v>
      </c>
      <c r="I24" s="1">
        <v>0.39529411764705891</v>
      </c>
      <c r="J24" s="1">
        <v>0.40673684210526317</v>
      </c>
      <c r="K24" s="1">
        <f t="shared" si="0"/>
        <v>0.349721706864564</v>
      </c>
      <c r="L24" s="1">
        <f t="shared" si="1"/>
        <v>0.30844155844155846</v>
      </c>
      <c r="M24" s="1">
        <f t="shared" si="2"/>
        <v>0.34183673469387754</v>
      </c>
      <c r="O24">
        <v>23</v>
      </c>
      <c r="P24" t="s">
        <v>69</v>
      </c>
      <c r="Q24" t="s">
        <v>37</v>
      </c>
      <c r="R24">
        <v>679</v>
      </c>
      <c r="S24">
        <v>974</v>
      </c>
      <c r="T24">
        <v>501</v>
      </c>
    </row>
    <row r="25" spans="1:20" x14ac:dyDescent="0.3">
      <c r="A25">
        <v>24</v>
      </c>
      <c r="B25" t="s">
        <v>70</v>
      </c>
      <c r="C25" t="s">
        <v>37</v>
      </c>
      <c r="D25">
        <v>840</v>
      </c>
      <c r="E25">
        <v>636</v>
      </c>
      <c r="F25">
        <v>678</v>
      </c>
      <c r="H25" t="str">
        <f t="shared" si="3"/>
        <v>06/06-2</v>
      </c>
      <c r="I25" s="1">
        <v>0.39529411764705891</v>
      </c>
      <c r="J25" s="1">
        <v>0.40673684210526317</v>
      </c>
      <c r="K25" s="1">
        <f t="shared" si="0"/>
        <v>0.40194714881780252</v>
      </c>
      <c r="L25" s="1">
        <f t="shared" si="1"/>
        <v>0.23875753361149746</v>
      </c>
      <c r="M25" s="1">
        <f t="shared" si="2"/>
        <v>0.35929531757070005</v>
      </c>
      <c r="O25">
        <v>24</v>
      </c>
      <c r="P25" t="s">
        <v>71</v>
      </c>
      <c r="Q25" t="s">
        <v>34</v>
      </c>
      <c r="R25">
        <v>885</v>
      </c>
      <c r="S25">
        <v>642</v>
      </c>
      <c r="T25">
        <v>626</v>
      </c>
    </row>
    <row r="26" spans="1:20" x14ac:dyDescent="0.3">
      <c r="A26">
        <v>25</v>
      </c>
      <c r="B26" t="s">
        <v>72</v>
      </c>
      <c r="C26" t="s">
        <v>34</v>
      </c>
      <c r="D26">
        <v>342</v>
      </c>
      <c r="E26">
        <v>634</v>
      </c>
      <c r="F26">
        <v>1180</v>
      </c>
      <c r="H26" t="str">
        <f t="shared" si="3"/>
        <v>07/06-1</v>
      </c>
      <c r="I26" s="1">
        <v>0.39529411764705891</v>
      </c>
      <c r="J26" s="1">
        <v>0.40673684210526317</v>
      </c>
      <c r="K26" s="1">
        <f t="shared" si="0"/>
        <v>0</v>
      </c>
      <c r="L26" s="1">
        <f t="shared" si="1"/>
        <v>0</v>
      </c>
      <c r="M26" s="1">
        <f t="shared" si="2"/>
        <v>1</v>
      </c>
      <c r="O26">
        <v>25</v>
      </c>
      <c r="P26" t="s">
        <v>71</v>
      </c>
      <c r="Q26" t="s">
        <v>37</v>
      </c>
      <c r="R26">
        <v>550</v>
      </c>
      <c r="S26">
        <v>1085</v>
      </c>
      <c r="T26">
        <v>520</v>
      </c>
    </row>
    <row r="27" spans="1:20" x14ac:dyDescent="0.3">
      <c r="H27" t="str">
        <f t="shared" si="3"/>
        <v>07/06-2</v>
      </c>
      <c r="I27" s="1">
        <v>0.39529411764705891</v>
      </c>
      <c r="J27" s="1">
        <v>0.40673684210526317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810</v>
      </c>
      <c r="S27">
        <v>712</v>
      </c>
      <c r="T27">
        <v>631</v>
      </c>
    </row>
    <row r="28" spans="1:20" x14ac:dyDescent="0.3">
      <c r="H28" t="str">
        <f t="shared" si="3"/>
        <v>08/06-1</v>
      </c>
      <c r="I28" s="1">
        <v>0.39529411764705891</v>
      </c>
      <c r="J28" s="1">
        <v>0.40673684210526317</v>
      </c>
      <c r="K28" s="1">
        <f t="shared" si="0"/>
        <v>0.44686774941995361</v>
      </c>
      <c r="L28" s="1">
        <f t="shared" si="1"/>
        <v>0.25846867749419955</v>
      </c>
      <c r="M28" s="1">
        <f t="shared" si="2"/>
        <v>0.29466357308584684</v>
      </c>
      <c r="O28">
        <v>27</v>
      </c>
      <c r="P28" t="s">
        <v>73</v>
      </c>
      <c r="Q28" t="s">
        <v>37</v>
      </c>
      <c r="R28">
        <v>651</v>
      </c>
      <c r="S28">
        <v>993</v>
      </c>
      <c r="T28">
        <v>511</v>
      </c>
    </row>
    <row r="29" spans="1:20" x14ac:dyDescent="0.3">
      <c r="H29" t="str">
        <f t="shared" si="3"/>
        <v>08/06-2</v>
      </c>
      <c r="I29" s="1">
        <v>0.39529411764705891</v>
      </c>
      <c r="J29" s="1">
        <v>0.40673684210526317</v>
      </c>
      <c r="K29" s="1">
        <f t="shared" si="0"/>
        <v>0.45868152274837509</v>
      </c>
      <c r="L29" s="1">
        <f t="shared" si="1"/>
        <v>0.308727948003714</v>
      </c>
      <c r="M29" s="1">
        <f t="shared" si="2"/>
        <v>0.23259052924791088</v>
      </c>
      <c r="O29">
        <v>28</v>
      </c>
      <c r="P29" t="s">
        <v>74</v>
      </c>
      <c r="Q29" t="s">
        <v>34</v>
      </c>
      <c r="R29">
        <v>968</v>
      </c>
      <c r="S29">
        <v>561</v>
      </c>
      <c r="T29">
        <v>625</v>
      </c>
    </row>
    <row r="30" spans="1:20" x14ac:dyDescent="0.3">
      <c r="H30" t="str">
        <f t="shared" si="3"/>
        <v>09/06-1</v>
      </c>
      <c r="I30" s="1">
        <v>0.39529411764705891</v>
      </c>
      <c r="J30" s="1">
        <v>0.40673684210526317</v>
      </c>
      <c r="K30" s="1">
        <f t="shared" si="0"/>
        <v>0.50394797956339987</v>
      </c>
      <c r="L30" s="1">
        <f t="shared" si="1"/>
        <v>0.20390153274500697</v>
      </c>
      <c r="M30" s="1">
        <f t="shared" si="2"/>
        <v>0.29215048769159313</v>
      </c>
      <c r="O30">
        <v>29</v>
      </c>
      <c r="P30" t="s">
        <v>74</v>
      </c>
      <c r="Q30" t="s">
        <v>37</v>
      </c>
      <c r="R30">
        <v>568</v>
      </c>
      <c r="S30">
        <v>1076</v>
      </c>
      <c r="T30">
        <v>510</v>
      </c>
    </row>
    <row r="31" spans="1:20" x14ac:dyDescent="0.3">
      <c r="H31" t="str">
        <f t="shared" si="3"/>
        <v>09/06-2</v>
      </c>
      <c r="I31" s="1">
        <v>0.39529411764705891</v>
      </c>
      <c r="J31" s="1">
        <v>0.40673684210526317</v>
      </c>
      <c r="K31" s="1">
        <f t="shared" si="0"/>
        <v>0.36815227483751162</v>
      </c>
      <c r="L31" s="1">
        <f t="shared" si="1"/>
        <v>0.31476323119777161</v>
      </c>
      <c r="M31" s="1">
        <f t="shared" si="2"/>
        <v>0.31708449396471683</v>
      </c>
      <c r="O31">
        <v>30</v>
      </c>
      <c r="P31" t="s">
        <v>75</v>
      </c>
      <c r="Q31" t="s">
        <v>34</v>
      </c>
      <c r="R31">
        <v>912</v>
      </c>
      <c r="S31">
        <v>618</v>
      </c>
      <c r="T31">
        <v>625</v>
      </c>
    </row>
    <row r="32" spans="1:20" x14ac:dyDescent="0.3">
      <c r="H32" t="str">
        <f t="shared" si="3"/>
        <v>10/06-1</v>
      </c>
      <c r="I32" s="1">
        <v>0.39529411764705891</v>
      </c>
      <c r="J32" s="1">
        <v>0.40673684210526317</v>
      </c>
      <c r="K32" s="1">
        <f t="shared" si="0"/>
        <v>0.3878309335810497</v>
      </c>
      <c r="L32" s="1">
        <f t="shared" si="1"/>
        <v>0.31583836507199259</v>
      </c>
      <c r="M32" s="1">
        <f t="shared" si="2"/>
        <v>0.29633070134695771</v>
      </c>
      <c r="O32">
        <v>31</v>
      </c>
      <c r="P32" t="s">
        <v>75</v>
      </c>
      <c r="Q32" t="s">
        <v>37</v>
      </c>
      <c r="R32">
        <v>633</v>
      </c>
      <c r="S32">
        <v>884</v>
      </c>
      <c r="T32">
        <v>638</v>
      </c>
    </row>
    <row r="33" spans="8:20" x14ac:dyDescent="0.3">
      <c r="H33" t="str">
        <f t="shared" si="3"/>
        <v>10/06-2</v>
      </c>
      <c r="I33" s="1">
        <v>0.39529411764705891</v>
      </c>
      <c r="J33" s="1">
        <v>0.40673684210526317</v>
      </c>
      <c r="K33" s="1">
        <f t="shared" si="0"/>
        <v>0.35452436194895592</v>
      </c>
      <c r="L33" s="1">
        <f t="shared" si="1"/>
        <v>0.33178654292343385</v>
      </c>
      <c r="M33" s="1">
        <f t="shared" si="2"/>
        <v>0.31368909512761023</v>
      </c>
      <c r="O33">
        <v>32</v>
      </c>
      <c r="P33" t="s">
        <v>76</v>
      </c>
      <c r="Q33" t="s">
        <v>34</v>
      </c>
      <c r="R33">
        <v>881</v>
      </c>
      <c r="S33">
        <v>646</v>
      </c>
      <c r="T33">
        <v>629</v>
      </c>
    </row>
    <row r="34" spans="8:20" x14ac:dyDescent="0.3">
      <c r="H34" t="str">
        <f t="shared" si="3"/>
        <v>11/06-1</v>
      </c>
      <c r="I34" s="1">
        <v>0.39529411764705891</v>
      </c>
      <c r="J34" s="1">
        <v>0.40673684210526317</v>
      </c>
      <c r="K34" s="1">
        <f t="shared" si="0"/>
        <v>0.42254174397031541</v>
      </c>
      <c r="L34" s="1">
        <f t="shared" si="1"/>
        <v>0.2847866419294991</v>
      </c>
      <c r="M34" s="1">
        <f t="shared" si="2"/>
        <v>0.29267161410018555</v>
      </c>
      <c r="O34">
        <v>33</v>
      </c>
      <c r="P34" t="s">
        <v>76</v>
      </c>
      <c r="Q34" t="s">
        <v>37</v>
      </c>
      <c r="R34">
        <v>532</v>
      </c>
      <c r="S34">
        <v>880</v>
      </c>
      <c r="T34">
        <v>743</v>
      </c>
    </row>
    <row r="35" spans="8:20" x14ac:dyDescent="0.3">
      <c r="H35" t="str">
        <f t="shared" si="3"/>
        <v>11/06-2</v>
      </c>
      <c r="I35" s="1">
        <v>0.39529411764705891</v>
      </c>
      <c r="J35" s="1">
        <v>0.40673684210526317</v>
      </c>
      <c r="K35" s="1">
        <f t="shared" si="0"/>
        <v>0.35485369252206223</v>
      </c>
      <c r="L35" s="1">
        <f t="shared" si="1"/>
        <v>0.41151881096144916</v>
      </c>
      <c r="M35" s="1">
        <f t="shared" si="2"/>
        <v>0.23362749651648862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2160</v>
      </c>
    </row>
    <row r="36" spans="8:20" x14ac:dyDescent="0.3">
      <c r="H36" t="str">
        <f t="shared" si="3"/>
        <v>12/06-1</v>
      </c>
      <c r="I36" s="1">
        <v>0.39529411764705891</v>
      </c>
      <c r="J36" s="1">
        <v>0.40673684210526317</v>
      </c>
      <c r="K36" s="1">
        <f t="shared" si="0"/>
        <v>0.45850718590635142</v>
      </c>
      <c r="L36" s="1">
        <f t="shared" si="1"/>
        <v>0.23226703755215578</v>
      </c>
      <c r="M36" s="1">
        <f t="shared" si="2"/>
        <v>0.3092257765414928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2160</v>
      </c>
    </row>
    <row r="37" spans="8:20" x14ac:dyDescent="0.3">
      <c r="H37" t="str">
        <f t="shared" si="3"/>
        <v>12/06-2</v>
      </c>
      <c r="I37" s="1">
        <v>0.39529411764705891</v>
      </c>
      <c r="J37" s="1">
        <v>0.40673684210526317</v>
      </c>
      <c r="K37" s="1">
        <f t="shared" si="0"/>
        <v>0.29526462395543174</v>
      </c>
      <c r="L37" s="1">
        <f t="shared" si="1"/>
        <v>0.38997214484679665</v>
      </c>
      <c r="M37" s="1">
        <f t="shared" si="2"/>
        <v>0.31476323119777161</v>
      </c>
      <c r="O37">
        <v>36</v>
      </c>
      <c r="P37" t="s">
        <v>78</v>
      </c>
      <c r="Q37" t="s">
        <v>34</v>
      </c>
      <c r="R37">
        <v>513</v>
      </c>
      <c r="S37">
        <v>990</v>
      </c>
      <c r="T37">
        <v>652</v>
      </c>
    </row>
    <row r="38" spans="8:20" x14ac:dyDescent="0.3">
      <c r="H38" t="str">
        <f t="shared" si="3"/>
        <v>13/06-1</v>
      </c>
      <c r="I38" s="1">
        <v>0.39529411764705891</v>
      </c>
      <c r="J38" s="1">
        <v>0.40673684210526317</v>
      </c>
      <c r="K38" s="1">
        <f t="shared" si="0"/>
        <v>0.29406307977736551</v>
      </c>
      <c r="L38" s="1">
        <f t="shared" si="1"/>
        <v>0.15862708719851576</v>
      </c>
      <c r="M38" s="1">
        <f t="shared" si="2"/>
        <v>0.54730983302411873</v>
      </c>
      <c r="O38">
        <v>37</v>
      </c>
      <c r="P38" t="s">
        <v>78</v>
      </c>
      <c r="Q38" t="s">
        <v>37</v>
      </c>
      <c r="R38">
        <v>1030</v>
      </c>
      <c r="S38">
        <v>639</v>
      </c>
      <c r="T38">
        <v>485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519</v>
      </c>
      <c r="S39">
        <v>998</v>
      </c>
      <c r="T39">
        <v>640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1033</v>
      </c>
      <c r="S40">
        <v>477</v>
      </c>
      <c r="T40">
        <v>644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464</v>
      </c>
      <c r="S41">
        <v>1053</v>
      </c>
      <c r="T41">
        <v>637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994</v>
      </c>
      <c r="S42">
        <v>696</v>
      </c>
      <c r="T42">
        <v>465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336</v>
      </c>
      <c r="S43">
        <v>662</v>
      </c>
      <c r="T43">
        <v>1160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1033</v>
      </c>
      <c r="S44">
        <v>639</v>
      </c>
      <c r="T44">
        <v>483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445</v>
      </c>
      <c r="S45">
        <v>1052</v>
      </c>
      <c r="T45">
        <v>659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806</v>
      </c>
      <c r="S46">
        <v>566</v>
      </c>
      <c r="T46">
        <v>783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380</v>
      </c>
      <c r="S47">
        <v>1053</v>
      </c>
      <c r="T47">
        <v>722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443</v>
      </c>
      <c r="S48">
        <v>512</v>
      </c>
      <c r="T48">
        <v>1200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0</v>
      </c>
      <c r="S49">
        <v>0</v>
      </c>
      <c r="T49">
        <v>2160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2160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793</v>
      </c>
      <c r="S51">
        <v>733</v>
      </c>
      <c r="T51">
        <v>628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938</v>
      </c>
      <c r="S52">
        <v>825</v>
      </c>
      <c r="T52">
        <v>393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847</v>
      </c>
      <c r="S53">
        <v>676</v>
      </c>
      <c r="T53">
        <v>630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535</v>
      </c>
      <c r="S54">
        <v>1092</v>
      </c>
      <c r="T54">
        <v>528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522</v>
      </c>
      <c r="S55">
        <v>497</v>
      </c>
      <c r="T55">
        <v>1137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529</v>
      </c>
      <c r="S56">
        <v>1055</v>
      </c>
      <c r="T56">
        <v>572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842</v>
      </c>
      <c r="S57">
        <v>673</v>
      </c>
      <c r="T57">
        <v>639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582</v>
      </c>
      <c r="S58">
        <v>1051</v>
      </c>
      <c r="T58">
        <v>522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920</v>
      </c>
      <c r="S59">
        <v>605</v>
      </c>
      <c r="T59">
        <v>629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979</v>
      </c>
      <c r="S60">
        <v>708</v>
      </c>
      <c r="T60">
        <v>469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598</v>
      </c>
      <c r="S61">
        <v>827</v>
      </c>
      <c r="T61">
        <v>730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685</v>
      </c>
      <c r="S62">
        <v>609</v>
      </c>
      <c r="T62">
        <v>861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440</v>
      </c>
      <c r="S65">
        <v>1081</v>
      </c>
      <c r="T65">
        <v>637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783</v>
      </c>
      <c r="S66">
        <v>897</v>
      </c>
      <c r="T66">
        <v>472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456</v>
      </c>
      <c r="S67">
        <v>1073</v>
      </c>
      <c r="T67">
        <v>626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1033</v>
      </c>
      <c r="S68">
        <v>637</v>
      </c>
      <c r="T68">
        <v>485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437</v>
      </c>
      <c r="S69">
        <v>1092</v>
      </c>
      <c r="T69">
        <v>627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806</v>
      </c>
      <c r="S70">
        <v>869</v>
      </c>
      <c r="T70">
        <v>478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422</v>
      </c>
      <c r="S71">
        <v>1101</v>
      </c>
      <c r="T71">
        <v>634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884</v>
      </c>
      <c r="S72">
        <v>769</v>
      </c>
      <c r="T72">
        <v>499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652</v>
      </c>
      <c r="S73">
        <v>875</v>
      </c>
      <c r="T73">
        <v>628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969</v>
      </c>
      <c r="S74">
        <v>694</v>
      </c>
      <c r="T74">
        <v>491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617</v>
      </c>
      <c r="S75">
        <v>826</v>
      </c>
      <c r="T75">
        <v>714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676</v>
      </c>
      <c r="S76">
        <v>710</v>
      </c>
      <c r="T76">
        <v>769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2160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2160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798</v>
      </c>
      <c r="S79">
        <v>672</v>
      </c>
      <c r="T79">
        <v>684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611</v>
      </c>
      <c r="S80">
        <v>1014</v>
      </c>
      <c r="T80">
        <v>533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491</v>
      </c>
      <c r="S81">
        <v>525</v>
      </c>
      <c r="T81">
        <v>1141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860</v>
      </c>
      <c r="S82">
        <v>745</v>
      </c>
      <c r="T82">
        <v>549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509</v>
      </c>
      <c r="S83">
        <v>514</v>
      </c>
      <c r="T83">
        <v>1134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890</v>
      </c>
      <c r="S84">
        <v>732</v>
      </c>
      <c r="T84">
        <v>533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844</v>
      </c>
      <c r="S85">
        <v>685</v>
      </c>
      <c r="T85">
        <v>625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831</v>
      </c>
      <c r="S86">
        <v>792</v>
      </c>
      <c r="T86">
        <v>533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600</v>
      </c>
      <c r="S87">
        <v>362</v>
      </c>
      <c r="T87">
        <v>1195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230</v>
      </c>
      <c r="S88">
        <v>188</v>
      </c>
      <c r="T88">
        <v>1740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2161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113</v>
      </c>
      <c r="Q107" t="s">
        <v>34</v>
      </c>
      <c r="R107">
        <v>684</v>
      </c>
      <c r="S107">
        <v>828</v>
      </c>
      <c r="T107">
        <v>643</v>
      </c>
    </row>
    <row r="108" spans="9:20" x14ac:dyDescent="0.3">
      <c r="O108">
        <v>107</v>
      </c>
      <c r="P108" t="s">
        <v>113</v>
      </c>
      <c r="Q108" t="s">
        <v>37</v>
      </c>
      <c r="R108">
        <v>963</v>
      </c>
      <c r="S108">
        <v>662</v>
      </c>
      <c r="T108">
        <v>531</v>
      </c>
    </row>
    <row r="109" spans="9:20" x14ac:dyDescent="0.3">
      <c r="O109">
        <v>108</v>
      </c>
      <c r="P109" t="s">
        <v>114</v>
      </c>
      <c r="Q109" t="s">
        <v>34</v>
      </c>
      <c r="R109">
        <v>778</v>
      </c>
      <c r="S109">
        <v>755</v>
      </c>
      <c r="T109">
        <v>621</v>
      </c>
    </row>
    <row r="110" spans="9:20" x14ac:dyDescent="0.3">
      <c r="O110">
        <v>109</v>
      </c>
      <c r="P110" t="s">
        <v>114</v>
      </c>
      <c r="Q110" t="s">
        <v>37</v>
      </c>
      <c r="R110">
        <v>923</v>
      </c>
      <c r="S110">
        <v>765</v>
      </c>
      <c r="T110">
        <v>468</v>
      </c>
    </row>
    <row r="111" spans="9:20" x14ac:dyDescent="0.3">
      <c r="O111">
        <v>110</v>
      </c>
      <c r="P111" t="s">
        <v>115</v>
      </c>
      <c r="Q111" t="s">
        <v>34</v>
      </c>
      <c r="R111">
        <v>838</v>
      </c>
      <c r="S111">
        <v>696</v>
      </c>
      <c r="T111">
        <v>621</v>
      </c>
    </row>
    <row r="112" spans="9:20" x14ac:dyDescent="0.3">
      <c r="O112">
        <v>111</v>
      </c>
      <c r="P112" t="s">
        <v>115</v>
      </c>
      <c r="Q112" t="s">
        <v>37</v>
      </c>
      <c r="R112">
        <v>955</v>
      </c>
      <c r="S112">
        <v>676</v>
      </c>
      <c r="T112">
        <v>524</v>
      </c>
    </row>
    <row r="113" spans="15:20" x14ac:dyDescent="0.3">
      <c r="O113">
        <v>112</v>
      </c>
      <c r="P113" t="s">
        <v>116</v>
      </c>
      <c r="Q113" t="s">
        <v>34</v>
      </c>
      <c r="R113">
        <v>614</v>
      </c>
      <c r="S113">
        <v>495</v>
      </c>
      <c r="T113">
        <v>1043</v>
      </c>
    </row>
    <row r="114" spans="15:20" x14ac:dyDescent="0.3">
      <c r="O114">
        <v>113</v>
      </c>
      <c r="P114" t="s">
        <v>116</v>
      </c>
      <c r="Q114" t="s">
        <v>37</v>
      </c>
      <c r="R114">
        <v>830</v>
      </c>
      <c r="S114">
        <v>666</v>
      </c>
      <c r="T114">
        <v>660</v>
      </c>
    </row>
    <row r="115" spans="15:20" x14ac:dyDescent="0.3">
      <c r="O115">
        <v>114</v>
      </c>
      <c r="P115" t="s">
        <v>117</v>
      </c>
      <c r="Q115" t="s">
        <v>34</v>
      </c>
      <c r="R115">
        <v>598</v>
      </c>
      <c r="S115">
        <v>512</v>
      </c>
      <c r="T115">
        <v>1046</v>
      </c>
    </row>
    <row r="116" spans="15:20" x14ac:dyDescent="0.3">
      <c r="O116">
        <v>115</v>
      </c>
      <c r="P116" t="s">
        <v>117</v>
      </c>
      <c r="Q116" t="s">
        <v>37</v>
      </c>
      <c r="R116">
        <v>308</v>
      </c>
      <c r="S116">
        <v>703</v>
      </c>
      <c r="T116">
        <v>1148</v>
      </c>
    </row>
    <row r="117" spans="15:20" x14ac:dyDescent="0.3">
      <c r="O117">
        <v>116</v>
      </c>
      <c r="P117" t="s">
        <v>118</v>
      </c>
      <c r="Q117" t="s">
        <v>34</v>
      </c>
      <c r="R117">
        <v>436</v>
      </c>
      <c r="S117">
        <v>527</v>
      </c>
      <c r="T117">
        <v>1194</v>
      </c>
    </row>
    <row r="118" spans="15:20" x14ac:dyDescent="0.3">
      <c r="O118">
        <v>117</v>
      </c>
      <c r="P118" t="s">
        <v>118</v>
      </c>
      <c r="Q118" t="s">
        <v>37</v>
      </c>
      <c r="R118">
        <v>377</v>
      </c>
      <c r="S118">
        <v>565</v>
      </c>
      <c r="T118">
        <v>1213</v>
      </c>
    </row>
    <row r="119" spans="15:20" x14ac:dyDescent="0.3">
      <c r="O119">
        <v>118</v>
      </c>
      <c r="P119" t="s">
        <v>119</v>
      </c>
      <c r="Q119" t="s">
        <v>34</v>
      </c>
      <c r="R119">
        <v>0</v>
      </c>
      <c r="S119">
        <v>0</v>
      </c>
      <c r="T119">
        <v>1730</v>
      </c>
    </row>
    <row r="120" spans="15:20" x14ac:dyDescent="0.3">
      <c r="O120">
        <v>119</v>
      </c>
      <c r="P120" t="s">
        <v>119</v>
      </c>
      <c r="Q120" t="s">
        <v>37</v>
      </c>
      <c r="R120">
        <v>0</v>
      </c>
      <c r="S120">
        <v>0</v>
      </c>
      <c r="T120">
        <v>2160</v>
      </c>
    </row>
    <row r="121" spans="15:20" x14ac:dyDescent="0.3">
      <c r="O121">
        <v>120</v>
      </c>
      <c r="P121" t="s">
        <v>120</v>
      </c>
      <c r="Q121" t="s">
        <v>34</v>
      </c>
      <c r="R121">
        <v>391</v>
      </c>
      <c r="S121">
        <v>629</v>
      </c>
      <c r="T121">
        <v>1136</v>
      </c>
    </row>
    <row r="122" spans="15:20" x14ac:dyDescent="0.3">
      <c r="O122">
        <v>121</v>
      </c>
      <c r="P122" t="s">
        <v>120</v>
      </c>
      <c r="Q122" t="s">
        <v>37</v>
      </c>
      <c r="R122">
        <v>805</v>
      </c>
      <c r="S122">
        <v>860</v>
      </c>
      <c r="T122">
        <v>490</v>
      </c>
    </row>
    <row r="123" spans="15:20" x14ac:dyDescent="0.3">
      <c r="O123">
        <v>122</v>
      </c>
      <c r="P123" t="s">
        <v>121</v>
      </c>
      <c r="Q123" t="s">
        <v>34</v>
      </c>
      <c r="R123">
        <v>431</v>
      </c>
      <c r="S123">
        <v>1020</v>
      </c>
      <c r="T123">
        <v>702</v>
      </c>
    </row>
    <row r="124" spans="15:20" x14ac:dyDescent="0.3">
      <c r="O124">
        <v>123</v>
      </c>
      <c r="P124" t="s">
        <v>121</v>
      </c>
      <c r="Q124" t="s">
        <v>37</v>
      </c>
      <c r="R124">
        <v>891</v>
      </c>
      <c r="S124">
        <v>766</v>
      </c>
      <c r="T124">
        <v>496</v>
      </c>
    </row>
    <row r="125" spans="15:20" x14ac:dyDescent="0.3">
      <c r="O125">
        <v>124</v>
      </c>
      <c r="P125" t="s">
        <v>122</v>
      </c>
      <c r="Q125" t="s">
        <v>34</v>
      </c>
      <c r="R125">
        <v>535</v>
      </c>
      <c r="S125">
        <v>949</v>
      </c>
      <c r="T125">
        <v>672</v>
      </c>
    </row>
    <row r="126" spans="15:20" x14ac:dyDescent="0.3">
      <c r="O126">
        <v>125</v>
      </c>
      <c r="P126" t="s">
        <v>122</v>
      </c>
      <c r="Q126" t="s">
        <v>37</v>
      </c>
      <c r="R126">
        <v>841</v>
      </c>
      <c r="S126">
        <v>826</v>
      </c>
      <c r="T126">
        <v>487</v>
      </c>
    </row>
    <row r="127" spans="15:20" x14ac:dyDescent="0.3">
      <c r="O127">
        <v>126</v>
      </c>
      <c r="P127" t="s">
        <v>123</v>
      </c>
      <c r="Q127" t="s">
        <v>34</v>
      </c>
      <c r="R127">
        <v>626</v>
      </c>
      <c r="S127">
        <v>890</v>
      </c>
      <c r="T127">
        <v>640</v>
      </c>
    </row>
    <row r="128" spans="15:20" x14ac:dyDescent="0.3">
      <c r="O128">
        <v>127</v>
      </c>
      <c r="P128" t="s">
        <v>123</v>
      </c>
      <c r="Q128" t="s">
        <v>37</v>
      </c>
      <c r="R128">
        <v>828</v>
      </c>
      <c r="S128">
        <v>834</v>
      </c>
      <c r="T128">
        <v>491</v>
      </c>
    </row>
    <row r="129" spans="15:20" x14ac:dyDescent="0.3">
      <c r="O129">
        <v>128</v>
      </c>
      <c r="P129" t="s">
        <v>124</v>
      </c>
      <c r="Q129" t="s">
        <v>34</v>
      </c>
      <c r="R129">
        <v>691</v>
      </c>
      <c r="S129">
        <v>832</v>
      </c>
      <c r="T129">
        <v>632</v>
      </c>
    </row>
    <row r="130" spans="15:20" x14ac:dyDescent="0.3">
      <c r="O130">
        <v>129</v>
      </c>
      <c r="P130" t="s">
        <v>124</v>
      </c>
      <c r="Q130" t="s">
        <v>37</v>
      </c>
      <c r="R130">
        <v>780</v>
      </c>
      <c r="S130">
        <v>821</v>
      </c>
      <c r="T130">
        <v>553</v>
      </c>
    </row>
    <row r="131" spans="15:20" x14ac:dyDescent="0.3">
      <c r="O131">
        <v>130</v>
      </c>
      <c r="P131" t="s">
        <v>125</v>
      </c>
      <c r="Q131" t="s">
        <v>34</v>
      </c>
      <c r="R131">
        <v>350</v>
      </c>
      <c r="S131">
        <v>600</v>
      </c>
      <c r="T131">
        <v>1203</v>
      </c>
    </row>
    <row r="132" spans="15:20" x14ac:dyDescent="0.3">
      <c r="O132">
        <v>131</v>
      </c>
      <c r="P132" t="s">
        <v>125</v>
      </c>
      <c r="Q132" t="s">
        <v>37</v>
      </c>
      <c r="R132">
        <v>703</v>
      </c>
      <c r="S132">
        <v>660</v>
      </c>
      <c r="T132">
        <v>792</v>
      </c>
    </row>
    <row r="133" spans="15:20" x14ac:dyDescent="0.3">
      <c r="O133">
        <v>132</v>
      </c>
      <c r="P133" t="s">
        <v>126</v>
      </c>
      <c r="Q133" t="s">
        <v>34</v>
      </c>
      <c r="R133">
        <v>0</v>
      </c>
      <c r="S133">
        <v>0</v>
      </c>
      <c r="T133">
        <v>2160</v>
      </c>
    </row>
    <row r="134" spans="15:20" x14ac:dyDescent="0.3">
      <c r="O134">
        <v>133</v>
      </c>
      <c r="P134" t="s">
        <v>126</v>
      </c>
      <c r="Q134" t="s">
        <v>37</v>
      </c>
      <c r="R134">
        <v>0</v>
      </c>
      <c r="S134">
        <v>0</v>
      </c>
      <c r="T134">
        <v>2160</v>
      </c>
    </row>
    <row r="135" spans="15:20" x14ac:dyDescent="0.3">
      <c r="O135">
        <v>134</v>
      </c>
      <c r="P135" t="s">
        <v>127</v>
      </c>
      <c r="Q135" t="s">
        <v>34</v>
      </c>
      <c r="R135">
        <v>740</v>
      </c>
      <c r="S135">
        <v>757</v>
      </c>
      <c r="T135">
        <v>658</v>
      </c>
    </row>
    <row r="136" spans="15:20" x14ac:dyDescent="0.3">
      <c r="O136">
        <v>135</v>
      </c>
      <c r="P136" t="s">
        <v>127</v>
      </c>
      <c r="Q136" t="s">
        <v>37</v>
      </c>
      <c r="R136">
        <v>630</v>
      </c>
      <c r="S136">
        <v>985</v>
      </c>
      <c r="T136">
        <v>539</v>
      </c>
    </row>
    <row r="137" spans="15:20" x14ac:dyDescent="0.3">
      <c r="O137">
        <v>136</v>
      </c>
      <c r="P137" t="s">
        <v>128</v>
      </c>
      <c r="Q137" t="s">
        <v>34</v>
      </c>
      <c r="R137">
        <v>774</v>
      </c>
      <c r="S137">
        <v>733</v>
      </c>
      <c r="T137">
        <v>649</v>
      </c>
    </row>
    <row r="138" spans="15:20" x14ac:dyDescent="0.3">
      <c r="O138">
        <v>137</v>
      </c>
      <c r="P138" t="s">
        <v>128</v>
      </c>
      <c r="Q138" t="s">
        <v>37</v>
      </c>
      <c r="R138">
        <v>488</v>
      </c>
      <c r="S138">
        <v>999</v>
      </c>
      <c r="T138">
        <v>668</v>
      </c>
    </row>
    <row r="139" spans="15:20" x14ac:dyDescent="0.3">
      <c r="O139">
        <v>138</v>
      </c>
      <c r="P139" t="s">
        <v>129</v>
      </c>
      <c r="Q139" t="s">
        <v>34</v>
      </c>
      <c r="R139">
        <v>839</v>
      </c>
      <c r="S139">
        <v>665</v>
      </c>
      <c r="T139">
        <v>650</v>
      </c>
    </row>
    <row r="140" spans="15:20" x14ac:dyDescent="0.3">
      <c r="O140">
        <v>139</v>
      </c>
      <c r="P140" t="s">
        <v>129</v>
      </c>
      <c r="Q140" t="s">
        <v>37</v>
      </c>
      <c r="R140">
        <v>615</v>
      </c>
      <c r="S140">
        <v>1050</v>
      </c>
      <c r="T140">
        <v>490</v>
      </c>
    </row>
    <row r="141" spans="15:20" x14ac:dyDescent="0.3">
      <c r="O141">
        <v>140</v>
      </c>
      <c r="P141" t="s">
        <v>130</v>
      </c>
      <c r="Q141" t="s">
        <v>34</v>
      </c>
      <c r="R141">
        <v>925</v>
      </c>
      <c r="S141">
        <v>608</v>
      </c>
      <c r="T141">
        <v>622</v>
      </c>
    </row>
    <row r="142" spans="15:20" x14ac:dyDescent="0.3">
      <c r="O142">
        <v>141</v>
      </c>
      <c r="P142" t="s">
        <v>130</v>
      </c>
      <c r="Q142" t="s">
        <v>37</v>
      </c>
      <c r="R142">
        <v>563</v>
      </c>
      <c r="S142">
        <v>1158</v>
      </c>
      <c r="T142">
        <v>435</v>
      </c>
    </row>
    <row r="143" spans="15:20" x14ac:dyDescent="0.3">
      <c r="O143">
        <v>142</v>
      </c>
      <c r="P143" t="s">
        <v>131</v>
      </c>
      <c r="Q143" t="s">
        <v>34</v>
      </c>
      <c r="R143">
        <v>674</v>
      </c>
      <c r="S143">
        <v>797</v>
      </c>
      <c r="T143">
        <v>684</v>
      </c>
    </row>
    <row r="144" spans="15:20" x14ac:dyDescent="0.3">
      <c r="O144">
        <v>143</v>
      </c>
      <c r="P144" t="s">
        <v>131</v>
      </c>
      <c r="Q144" t="s">
        <v>37</v>
      </c>
      <c r="R144">
        <v>414</v>
      </c>
      <c r="S144">
        <v>653</v>
      </c>
      <c r="T144">
        <v>1090</v>
      </c>
    </row>
    <row r="145" spans="15:20" x14ac:dyDescent="0.3">
      <c r="O145">
        <v>144</v>
      </c>
      <c r="P145" t="s">
        <v>132</v>
      </c>
      <c r="Q145" t="s">
        <v>34</v>
      </c>
      <c r="R145">
        <v>646</v>
      </c>
      <c r="S145">
        <v>777</v>
      </c>
      <c r="T145">
        <v>732</v>
      </c>
    </row>
    <row r="146" spans="15:20" x14ac:dyDescent="0.3">
      <c r="O146">
        <v>145</v>
      </c>
      <c r="P146" t="s">
        <v>132</v>
      </c>
      <c r="Q146" t="s">
        <v>37</v>
      </c>
      <c r="R146">
        <v>572</v>
      </c>
      <c r="S146">
        <v>841</v>
      </c>
      <c r="T146">
        <v>742</v>
      </c>
    </row>
    <row r="147" spans="15:20" x14ac:dyDescent="0.3">
      <c r="O147">
        <v>146</v>
      </c>
      <c r="P147" t="s">
        <v>133</v>
      </c>
      <c r="Q147" t="s">
        <v>34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133</v>
      </c>
      <c r="Q148" t="s">
        <v>37</v>
      </c>
      <c r="R148">
        <v>0</v>
      </c>
      <c r="S148">
        <v>0</v>
      </c>
      <c r="T148">
        <v>2160</v>
      </c>
    </row>
    <row r="149" spans="15:20" x14ac:dyDescent="0.3">
      <c r="O149">
        <v>148</v>
      </c>
      <c r="P149" t="s">
        <v>134</v>
      </c>
      <c r="Q149" t="s">
        <v>34</v>
      </c>
      <c r="R149">
        <v>779</v>
      </c>
      <c r="S149">
        <v>742</v>
      </c>
      <c r="T149">
        <v>635</v>
      </c>
    </row>
    <row r="150" spans="15:20" x14ac:dyDescent="0.3">
      <c r="O150">
        <v>149</v>
      </c>
      <c r="P150" t="s">
        <v>134</v>
      </c>
      <c r="Q150" t="s">
        <v>37</v>
      </c>
      <c r="R150">
        <v>885</v>
      </c>
      <c r="S150">
        <v>759</v>
      </c>
      <c r="T150">
        <v>509</v>
      </c>
    </row>
    <row r="151" spans="15:20" x14ac:dyDescent="0.3">
      <c r="O151">
        <v>150</v>
      </c>
      <c r="P151" t="s">
        <v>135</v>
      </c>
      <c r="Q151" t="s">
        <v>34</v>
      </c>
      <c r="R151">
        <v>551</v>
      </c>
      <c r="S151">
        <v>974</v>
      </c>
      <c r="T151">
        <v>633</v>
      </c>
    </row>
    <row r="152" spans="15:20" x14ac:dyDescent="0.3">
      <c r="O152">
        <v>151</v>
      </c>
      <c r="P152" t="s">
        <v>135</v>
      </c>
      <c r="Q152" t="s">
        <v>37</v>
      </c>
      <c r="R152">
        <v>455</v>
      </c>
      <c r="S152">
        <v>660</v>
      </c>
      <c r="T152">
        <v>1041</v>
      </c>
    </row>
    <row r="153" spans="15:20" x14ac:dyDescent="0.3">
      <c r="O153">
        <v>152</v>
      </c>
      <c r="P153" t="s">
        <v>136</v>
      </c>
      <c r="Q153" t="s">
        <v>34</v>
      </c>
      <c r="R153">
        <v>508</v>
      </c>
      <c r="S153">
        <v>981</v>
      </c>
      <c r="T153">
        <v>668</v>
      </c>
    </row>
    <row r="154" spans="15:20" x14ac:dyDescent="0.3">
      <c r="O154">
        <v>153</v>
      </c>
      <c r="P154" t="s">
        <v>136</v>
      </c>
      <c r="Q154" t="s">
        <v>37</v>
      </c>
      <c r="R154">
        <v>854</v>
      </c>
      <c r="S154">
        <v>807</v>
      </c>
      <c r="T154">
        <v>493</v>
      </c>
    </row>
    <row r="155" spans="15:20" x14ac:dyDescent="0.3">
      <c r="O155">
        <v>154</v>
      </c>
      <c r="P155" t="s">
        <v>137</v>
      </c>
      <c r="Q155" t="s">
        <v>34</v>
      </c>
      <c r="R155">
        <v>524</v>
      </c>
      <c r="S155">
        <v>1008</v>
      </c>
      <c r="T155">
        <v>623</v>
      </c>
    </row>
    <row r="156" spans="15:20" x14ac:dyDescent="0.3">
      <c r="O156">
        <v>155</v>
      </c>
      <c r="P156" t="s">
        <v>137</v>
      </c>
      <c r="Q156" t="s">
        <v>37</v>
      </c>
      <c r="R156">
        <v>763</v>
      </c>
      <c r="S156">
        <v>898</v>
      </c>
      <c r="T156">
        <v>490</v>
      </c>
    </row>
    <row r="157" spans="15:20" x14ac:dyDescent="0.3">
      <c r="O157">
        <v>156</v>
      </c>
      <c r="P157" t="s">
        <v>138</v>
      </c>
      <c r="Q157" t="s">
        <v>34</v>
      </c>
      <c r="R157">
        <v>777</v>
      </c>
      <c r="S157">
        <v>755</v>
      </c>
      <c r="T157">
        <v>624</v>
      </c>
    </row>
    <row r="158" spans="15:20" x14ac:dyDescent="0.3">
      <c r="O158">
        <v>157</v>
      </c>
      <c r="P158" t="s">
        <v>138</v>
      </c>
      <c r="Q158" t="s">
        <v>37</v>
      </c>
      <c r="R158">
        <v>854</v>
      </c>
      <c r="S158">
        <v>811</v>
      </c>
      <c r="T158">
        <v>488</v>
      </c>
    </row>
    <row r="159" spans="15:20" x14ac:dyDescent="0.3">
      <c r="O159">
        <v>158</v>
      </c>
      <c r="P159" t="s">
        <v>139</v>
      </c>
      <c r="Q159" t="s">
        <v>34</v>
      </c>
      <c r="R159">
        <v>500</v>
      </c>
      <c r="S159">
        <v>961</v>
      </c>
      <c r="T159">
        <v>695</v>
      </c>
    </row>
    <row r="160" spans="15:20" x14ac:dyDescent="0.3">
      <c r="O160">
        <v>159</v>
      </c>
      <c r="P160" t="s">
        <v>139</v>
      </c>
      <c r="Q160" t="s">
        <v>37</v>
      </c>
      <c r="R160">
        <v>710</v>
      </c>
      <c r="S160">
        <v>670</v>
      </c>
      <c r="T160">
        <v>774</v>
      </c>
    </row>
    <row r="161" spans="15:20" x14ac:dyDescent="0.3">
      <c r="O161">
        <v>160</v>
      </c>
      <c r="P161" t="s">
        <v>140</v>
      </c>
      <c r="Q161" t="s">
        <v>37</v>
      </c>
      <c r="R161">
        <v>0</v>
      </c>
      <c r="S161">
        <v>0</v>
      </c>
      <c r="T161">
        <v>2745</v>
      </c>
    </row>
    <row r="162" spans="15:20" x14ac:dyDescent="0.3">
      <c r="O162">
        <v>161</v>
      </c>
      <c r="P162" t="s">
        <v>141</v>
      </c>
      <c r="Q162" t="s">
        <v>34</v>
      </c>
      <c r="R162">
        <v>772</v>
      </c>
      <c r="S162">
        <v>757</v>
      </c>
      <c r="T162">
        <v>622</v>
      </c>
    </row>
    <row r="163" spans="15:20" x14ac:dyDescent="0.3">
      <c r="O163">
        <v>162</v>
      </c>
      <c r="P163" t="s">
        <v>141</v>
      </c>
      <c r="Q163" t="s">
        <v>37</v>
      </c>
      <c r="R163">
        <v>926</v>
      </c>
      <c r="S163">
        <v>645</v>
      </c>
      <c r="T163">
        <v>586</v>
      </c>
    </row>
    <row r="164" spans="15:20" x14ac:dyDescent="0.3">
      <c r="O164">
        <v>163</v>
      </c>
      <c r="P164" t="s">
        <v>142</v>
      </c>
      <c r="Q164" t="s">
        <v>34</v>
      </c>
      <c r="R164">
        <v>840</v>
      </c>
      <c r="S164">
        <v>690</v>
      </c>
      <c r="T164">
        <v>624</v>
      </c>
    </row>
    <row r="165" spans="15:20" x14ac:dyDescent="0.3">
      <c r="O165">
        <v>164</v>
      </c>
      <c r="P165" t="s">
        <v>142</v>
      </c>
      <c r="Q165" t="s">
        <v>37</v>
      </c>
      <c r="R165">
        <v>655</v>
      </c>
      <c r="S165">
        <v>1063</v>
      </c>
      <c r="T165">
        <v>436</v>
      </c>
    </row>
    <row r="166" spans="15:20" x14ac:dyDescent="0.3">
      <c r="O166">
        <v>165</v>
      </c>
      <c r="P166" t="s">
        <v>143</v>
      </c>
      <c r="Q166" t="s">
        <v>34</v>
      </c>
      <c r="R166">
        <v>643</v>
      </c>
      <c r="S166">
        <v>891</v>
      </c>
      <c r="T166">
        <v>620</v>
      </c>
    </row>
    <row r="167" spans="15:20" x14ac:dyDescent="0.3">
      <c r="O167">
        <v>166</v>
      </c>
      <c r="P167" t="s">
        <v>143</v>
      </c>
      <c r="Q167" t="s">
        <v>37</v>
      </c>
      <c r="R167">
        <v>916</v>
      </c>
      <c r="S167">
        <v>769</v>
      </c>
      <c r="T167">
        <v>472</v>
      </c>
    </row>
    <row r="168" spans="15:20" x14ac:dyDescent="0.3">
      <c r="O168">
        <v>167</v>
      </c>
      <c r="P168" t="s">
        <v>144</v>
      </c>
      <c r="Q168" t="s">
        <v>34</v>
      </c>
      <c r="R168">
        <v>782</v>
      </c>
      <c r="S168">
        <v>754</v>
      </c>
      <c r="T168">
        <v>617</v>
      </c>
    </row>
    <row r="169" spans="15:20" x14ac:dyDescent="0.3">
      <c r="O169">
        <v>168</v>
      </c>
      <c r="P169" t="s">
        <v>144</v>
      </c>
      <c r="Q169" t="s">
        <v>37</v>
      </c>
      <c r="R169">
        <v>918</v>
      </c>
      <c r="S169">
        <v>771</v>
      </c>
      <c r="T169">
        <v>468</v>
      </c>
    </row>
    <row r="170" spans="15:20" x14ac:dyDescent="0.3">
      <c r="O170">
        <v>169</v>
      </c>
      <c r="P170" t="s">
        <v>145</v>
      </c>
      <c r="Q170" t="s">
        <v>34</v>
      </c>
      <c r="R170">
        <v>728</v>
      </c>
      <c r="S170">
        <v>793</v>
      </c>
      <c r="T170">
        <v>633</v>
      </c>
    </row>
    <row r="171" spans="15:20" x14ac:dyDescent="0.3">
      <c r="O171">
        <v>170</v>
      </c>
      <c r="P171" t="s">
        <v>145</v>
      </c>
      <c r="Q171" t="s">
        <v>37</v>
      </c>
      <c r="R171">
        <v>416</v>
      </c>
      <c r="S171">
        <v>587</v>
      </c>
      <c r="T171">
        <v>1155</v>
      </c>
    </row>
    <row r="172" spans="15:20" x14ac:dyDescent="0.3">
      <c r="O172">
        <v>171</v>
      </c>
      <c r="P172" t="s">
        <v>146</v>
      </c>
      <c r="Q172" t="s">
        <v>34</v>
      </c>
      <c r="R172">
        <v>313</v>
      </c>
      <c r="S172">
        <v>103</v>
      </c>
      <c r="T172">
        <v>1742</v>
      </c>
    </row>
    <row r="173" spans="15:20" x14ac:dyDescent="0.3">
      <c r="O173">
        <v>172</v>
      </c>
      <c r="P173" t="s">
        <v>146</v>
      </c>
      <c r="Q173" t="s">
        <v>37</v>
      </c>
      <c r="R173">
        <v>0</v>
      </c>
      <c r="S173">
        <v>0</v>
      </c>
      <c r="T173">
        <v>2160</v>
      </c>
    </row>
    <row r="174" spans="15:20" x14ac:dyDescent="0.3">
      <c r="O174">
        <v>173</v>
      </c>
      <c r="P174" t="s">
        <v>147</v>
      </c>
      <c r="Q174" t="s">
        <v>34</v>
      </c>
      <c r="R174">
        <v>0</v>
      </c>
      <c r="S174">
        <v>0</v>
      </c>
      <c r="T174">
        <v>2160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148</v>
      </c>
      <c r="Q176" t="s">
        <v>34</v>
      </c>
      <c r="R176">
        <v>457</v>
      </c>
      <c r="S176">
        <v>554</v>
      </c>
      <c r="T176">
        <v>1146</v>
      </c>
    </row>
    <row r="177" spans="15:20" x14ac:dyDescent="0.3">
      <c r="O177">
        <v>176</v>
      </c>
      <c r="P177" t="s">
        <v>148</v>
      </c>
      <c r="Q177" t="s">
        <v>37</v>
      </c>
      <c r="R177">
        <v>738</v>
      </c>
      <c r="S177">
        <v>910</v>
      </c>
      <c r="T177">
        <v>506</v>
      </c>
    </row>
    <row r="178" spans="15:20" x14ac:dyDescent="0.3">
      <c r="O178">
        <v>177</v>
      </c>
      <c r="P178" t="s">
        <v>149</v>
      </c>
      <c r="Q178" t="s">
        <v>34</v>
      </c>
      <c r="R178">
        <v>445</v>
      </c>
      <c r="S178">
        <v>578</v>
      </c>
      <c r="T178">
        <v>1134</v>
      </c>
    </row>
    <row r="179" spans="15:20" x14ac:dyDescent="0.3">
      <c r="O179">
        <v>178</v>
      </c>
      <c r="P179" t="s">
        <v>149</v>
      </c>
      <c r="Q179" t="s">
        <v>37</v>
      </c>
      <c r="R179">
        <v>783</v>
      </c>
      <c r="S179">
        <v>815</v>
      </c>
      <c r="T179">
        <v>555</v>
      </c>
    </row>
    <row r="180" spans="15:20" x14ac:dyDescent="0.3">
      <c r="O180">
        <v>179</v>
      </c>
      <c r="P180" t="s">
        <v>150</v>
      </c>
      <c r="Q180" t="s">
        <v>34</v>
      </c>
      <c r="R180">
        <v>465</v>
      </c>
      <c r="S180">
        <v>694</v>
      </c>
      <c r="T180">
        <v>997</v>
      </c>
    </row>
    <row r="181" spans="15:20" x14ac:dyDescent="0.3">
      <c r="O181">
        <v>180</v>
      </c>
      <c r="P181" t="s">
        <v>150</v>
      </c>
      <c r="Q181" t="s">
        <v>37</v>
      </c>
      <c r="R181">
        <v>723</v>
      </c>
      <c r="S181">
        <v>934</v>
      </c>
      <c r="T181">
        <v>496</v>
      </c>
    </row>
    <row r="182" spans="15:20" x14ac:dyDescent="0.3">
      <c r="O182">
        <v>181</v>
      </c>
      <c r="P182" t="s">
        <v>151</v>
      </c>
      <c r="Q182" t="s">
        <v>34</v>
      </c>
      <c r="R182">
        <v>384</v>
      </c>
      <c r="S182">
        <v>641</v>
      </c>
      <c r="T182">
        <v>1132</v>
      </c>
    </row>
    <row r="183" spans="15:20" x14ac:dyDescent="0.3">
      <c r="O183">
        <v>182</v>
      </c>
      <c r="P183" t="s">
        <v>151</v>
      </c>
      <c r="Q183" t="s">
        <v>37</v>
      </c>
      <c r="R183">
        <v>666</v>
      </c>
      <c r="S183">
        <v>921</v>
      </c>
      <c r="T183">
        <v>566</v>
      </c>
    </row>
    <row r="184" spans="15:20" x14ac:dyDescent="0.3">
      <c r="O184">
        <v>183</v>
      </c>
      <c r="P184" t="s">
        <v>152</v>
      </c>
      <c r="Q184" t="s">
        <v>34</v>
      </c>
      <c r="R184">
        <v>427</v>
      </c>
      <c r="S184">
        <v>594</v>
      </c>
      <c r="T184">
        <v>1137</v>
      </c>
    </row>
    <row r="185" spans="15:20" x14ac:dyDescent="0.3">
      <c r="O185">
        <v>184</v>
      </c>
      <c r="P185" t="s">
        <v>152</v>
      </c>
      <c r="Q185" t="s">
        <v>37</v>
      </c>
      <c r="R185">
        <v>596</v>
      </c>
      <c r="S185">
        <v>992</v>
      </c>
      <c r="T185">
        <v>568</v>
      </c>
    </row>
    <row r="186" spans="15:20" x14ac:dyDescent="0.3">
      <c r="O186">
        <v>185</v>
      </c>
      <c r="P186" t="s">
        <v>153</v>
      </c>
      <c r="Q186" t="s">
        <v>34</v>
      </c>
      <c r="R186">
        <v>782</v>
      </c>
      <c r="S186">
        <v>602</v>
      </c>
      <c r="T186">
        <v>773</v>
      </c>
    </row>
    <row r="187" spans="15:20" x14ac:dyDescent="0.3">
      <c r="O187">
        <v>186</v>
      </c>
      <c r="P187" t="s">
        <v>153</v>
      </c>
      <c r="Q187" t="s">
        <v>37</v>
      </c>
      <c r="R187">
        <v>775</v>
      </c>
      <c r="S187">
        <v>619</v>
      </c>
      <c r="T187">
        <v>762</v>
      </c>
    </row>
    <row r="188" spans="15:20" x14ac:dyDescent="0.3">
      <c r="O188">
        <v>187</v>
      </c>
      <c r="P188" t="s">
        <v>154</v>
      </c>
      <c r="Q188" t="s">
        <v>34</v>
      </c>
      <c r="R188">
        <v>0</v>
      </c>
      <c r="S188">
        <v>0</v>
      </c>
      <c r="T188">
        <v>2160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2160</v>
      </c>
    </row>
    <row r="190" spans="15:20" x14ac:dyDescent="0.3">
      <c r="O190">
        <v>189</v>
      </c>
      <c r="P190" t="s">
        <v>155</v>
      </c>
      <c r="Q190" t="s">
        <v>34</v>
      </c>
      <c r="R190">
        <v>733</v>
      </c>
      <c r="S190">
        <v>791</v>
      </c>
      <c r="T190">
        <v>630</v>
      </c>
    </row>
    <row r="191" spans="15:20" x14ac:dyDescent="0.3">
      <c r="O191">
        <v>190</v>
      </c>
      <c r="P191" t="s">
        <v>155</v>
      </c>
      <c r="Q191" t="s">
        <v>37</v>
      </c>
      <c r="R191">
        <v>381</v>
      </c>
      <c r="S191">
        <v>678</v>
      </c>
      <c r="T191">
        <v>1097</v>
      </c>
    </row>
    <row r="192" spans="15:20" x14ac:dyDescent="0.3">
      <c r="O192">
        <v>191</v>
      </c>
      <c r="P192" t="s">
        <v>156</v>
      </c>
      <c r="Q192" t="s">
        <v>34</v>
      </c>
      <c r="R192">
        <v>799</v>
      </c>
      <c r="S192">
        <v>725</v>
      </c>
      <c r="T192">
        <v>630</v>
      </c>
    </row>
    <row r="193" spans="15:20" x14ac:dyDescent="0.3">
      <c r="O193">
        <v>192</v>
      </c>
      <c r="P193" t="s">
        <v>156</v>
      </c>
      <c r="Q193" t="s">
        <v>37</v>
      </c>
      <c r="R193">
        <v>595</v>
      </c>
      <c r="S193">
        <v>665</v>
      </c>
      <c r="T193">
        <v>898</v>
      </c>
    </row>
    <row r="194" spans="15:20" x14ac:dyDescent="0.3">
      <c r="O194">
        <v>193</v>
      </c>
      <c r="P194" t="s">
        <v>157</v>
      </c>
      <c r="Q194" t="s">
        <v>34</v>
      </c>
      <c r="R194">
        <v>807</v>
      </c>
      <c r="S194">
        <v>713</v>
      </c>
      <c r="T194">
        <v>633</v>
      </c>
    </row>
    <row r="195" spans="15:20" x14ac:dyDescent="0.3">
      <c r="O195">
        <v>194</v>
      </c>
      <c r="P195" t="s">
        <v>157</v>
      </c>
      <c r="Q195" t="s">
        <v>37</v>
      </c>
      <c r="R195">
        <v>359</v>
      </c>
      <c r="S195">
        <v>764</v>
      </c>
      <c r="T195">
        <v>1033</v>
      </c>
    </row>
    <row r="196" spans="15:20" x14ac:dyDescent="0.3">
      <c r="O196">
        <v>195</v>
      </c>
      <c r="P196" t="s">
        <v>158</v>
      </c>
      <c r="Q196" t="s">
        <v>34</v>
      </c>
      <c r="R196">
        <v>807</v>
      </c>
      <c r="S196">
        <v>702</v>
      </c>
      <c r="T196">
        <v>644</v>
      </c>
    </row>
    <row r="197" spans="15:20" x14ac:dyDescent="0.3">
      <c r="O197">
        <v>196</v>
      </c>
      <c r="P197" t="s">
        <v>158</v>
      </c>
      <c r="Q197" t="s">
        <v>37</v>
      </c>
      <c r="R197">
        <v>420</v>
      </c>
      <c r="S197">
        <v>703</v>
      </c>
      <c r="T197">
        <v>1033</v>
      </c>
    </row>
    <row r="198" spans="15:20" x14ac:dyDescent="0.3">
      <c r="O198">
        <v>197</v>
      </c>
      <c r="P198" t="s">
        <v>159</v>
      </c>
      <c r="Q198" t="s">
        <v>34</v>
      </c>
      <c r="R198">
        <v>703</v>
      </c>
      <c r="S198">
        <v>823</v>
      </c>
      <c r="T198">
        <v>629</v>
      </c>
    </row>
    <row r="199" spans="15:20" x14ac:dyDescent="0.3">
      <c r="O199">
        <v>198</v>
      </c>
      <c r="P199" t="s">
        <v>159</v>
      </c>
      <c r="Q199" t="s">
        <v>37</v>
      </c>
      <c r="R199">
        <v>609</v>
      </c>
      <c r="S199">
        <v>874</v>
      </c>
      <c r="T199">
        <v>673</v>
      </c>
    </row>
    <row r="200" spans="15:20" x14ac:dyDescent="0.3">
      <c r="O200">
        <v>199</v>
      </c>
      <c r="P200" t="s">
        <v>160</v>
      </c>
      <c r="Q200" t="s">
        <v>34</v>
      </c>
      <c r="R200">
        <v>676</v>
      </c>
      <c r="S200">
        <v>771</v>
      </c>
      <c r="T200">
        <v>707</v>
      </c>
    </row>
    <row r="201" spans="15:20" x14ac:dyDescent="0.3">
      <c r="O201">
        <v>200</v>
      </c>
      <c r="P201" t="s">
        <v>160</v>
      </c>
      <c r="Q201" t="s">
        <v>37</v>
      </c>
      <c r="R201">
        <v>428</v>
      </c>
      <c r="S201">
        <v>962</v>
      </c>
      <c r="T201">
        <v>765</v>
      </c>
    </row>
    <row r="202" spans="15:20" x14ac:dyDescent="0.3">
      <c r="O202">
        <v>201</v>
      </c>
      <c r="P202" t="s">
        <v>161</v>
      </c>
      <c r="Q202" t="s">
        <v>34</v>
      </c>
      <c r="R202">
        <v>0</v>
      </c>
      <c r="S202">
        <v>0</v>
      </c>
      <c r="T202">
        <v>2160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2160</v>
      </c>
    </row>
    <row r="204" spans="15:20" x14ac:dyDescent="0.3">
      <c r="O204">
        <v>203</v>
      </c>
      <c r="P204" t="s">
        <v>162</v>
      </c>
      <c r="Q204" t="s">
        <v>34</v>
      </c>
      <c r="R204">
        <v>493</v>
      </c>
      <c r="S204">
        <v>1015</v>
      </c>
      <c r="T204">
        <v>648</v>
      </c>
    </row>
    <row r="205" spans="15:20" x14ac:dyDescent="0.3">
      <c r="O205">
        <v>204</v>
      </c>
      <c r="P205" t="s">
        <v>162</v>
      </c>
      <c r="Q205" t="s">
        <v>37</v>
      </c>
      <c r="R205">
        <v>822</v>
      </c>
      <c r="S205">
        <v>803</v>
      </c>
      <c r="T205">
        <v>528</v>
      </c>
    </row>
    <row r="206" spans="15:20" x14ac:dyDescent="0.3">
      <c r="O206">
        <v>205</v>
      </c>
      <c r="P206" t="s">
        <v>163</v>
      </c>
      <c r="Q206" t="s">
        <v>34</v>
      </c>
      <c r="R206">
        <v>555</v>
      </c>
      <c r="S206">
        <v>976</v>
      </c>
      <c r="T206">
        <v>625</v>
      </c>
    </row>
    <row r="207" spans="15:20" x14ac:dyDescent="0.3">
      <c r="O207">
        <v>206</v>
      </c>
      <c r="P207" t="s">
        <v>163</v>
      </c>
      <c r="Q207" t="s">
        <v>37</v>
      </c>
      <c r="R207">
        <v>727</v>
      </c>
      <c r="S207">
        <v>871</v>
      </c>
      <c r="T207">
        <v>554</v>
      </c>
    </row>
    <row r="208" spans="15:20" x14ac:dyDescent="0.3">
      <c r="O208">
        <v>207</v>
      </c>
      <c r="P208" t="s">
        <v>164</v>
      </c>
      <c r="Q208" t="s">
        <v>34</v>
      </c>
      <c r="R208">
        <v>303</v>
      </c>
      <c r="S208">
        <v>724</v>
      </c>
      <c r="T208">
        <v>1131</v>
      </c>
    </row>
    <row r="209" spans="15:20" x14ac:dyDescent="0.3">
      <c r="O209">
        <v>208</v>
      </c>
      <c r="P209" t="s">
        <v>164</v>
      </c>
      <c r="Q209" t="s">
        <v>37</v>
      </c>
      <c r="R209">
        <v>1075</v>
      </c>
      <c r="S209">
        <v>583</v>
      </c>
      <c r="T209">
        <v>496</v>
      </c>
    </row>
    <row r="210" spans="15:20" x14ac:dyDescent="0.3">
      <c r="O210">
        <v>209</v>
      </c>
      <c r="P210" t="s">
        <v>165</v>
      </c>
      <c r="Q210" t="s">
        <v>34</v>
      </c>
      <c r="R210">
        <v>648</v>
      </c>
      <c r="S210">
        <v>887</v>
      </c>
      <c r="T210">
        <v>618</v>
      </c>
    </row>
    <row r="211" spans="15:20" x14ac:dyDescent="0.3">
      <c r="O211">
        <v>210</v>
      </c>
      <c r="P211" t="s">
        <v>165</v>
      </c>
      <c r="Q211" t="s">
        <v>37</v>
      </c>
      <c r="R211">
        <v>747</v>
      </c>
      <c r="S211">
        <v>899</v>
      </c>
      <c r="T211">
        <v>508</v>
      </c>
    </row>
    <row r="212" spans="15:20" x14ac:dyDescent="0.3">
      <c r="O212">
        <v>211</v>
      </c>
      <c r="P212" t="s">
        <v>166</v>
      </c>
      <c r="Q212" t="s">
        <v>34</v>
      </c>
      <c r="R212">
        <v>518</v>
      </c>
      <c r="S212">
        <v>993</v>
      </c>
      <c r="T212">
        <v>643</v>
      </c>
    </row>
    <row r="213" spans="15:20" x14ac:dyDescent="0.3">
      <c r="O213">
        <v>212</v>
      </c>
      <c r="P213" t="s">
        <v>166</v>
      </c>
      <c r="Q213" t="s">
        <v>37</v>
      </c>
      <c r="R213">
        <v>838</v>
      </c>
      <c r="S213">
        <v>714</v>
      </c>
      <c r="T213">
        <v>603</v>
      </c>
    </row>
    <row r="214" spans="15:20" x14ac:dyDescent="0.3">
      <c r="O214">
        <v>213</v>
      </c>
      <c r="P214" t="s">
        <v>167</v>
      </c>
      <c r="Q214" t="s">
        <v>34</v>
      </c>
      <c r="R214">
        <v>585</v>
      </c>
      <c r="S214">
        <v>659</v>
      </c>
      <c r="T214">
        <v>910</v>
      </c>
    </row>
    <row r="215" spans="15:20" x14ac:dyDescent="0.3">
      <c r="O215">
        <v>214</v>
      </c>
      <c r="P215" t="s">
        <v>167</v>
      </c>
      <c r="Q215" t="s">
        <v>37</v>
      </c>
      <c r="R215">
        <v>581</v>
      </c>
      <c r="S215">
        <v>752</v>
      </c>
      <c r="T215">
        <v>823</v>
      </c>
    </row>
    <row r="216" spans="15:20" x14ac:dyDescent="0.3">
      <c r="O216">
        <v>215</v>
      </c>
      <c r="P216" t="s">
        <v>168</v>
      </c>
      <c r="Q216" t="s">
        <v>34</v>
      </c>
      <c r="R216">
        <v>0</v>
      </c>
      <c r="S216">
        <v>0</v>
      </c>
      <c r="T216">
        <v>2160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2160</v>
      </c>
    </row>
    <row r="218" spans="15:20" x14ac:dyDescent="0.3">
      <c r="O218">
        <v>217</v>
      </c>
      <c r="P218" t="s">
        <v>169</v>
      </c>
      <c r="Q218" t="s">
        <v>34</v>
      </c>
      <c r="R218">
        <v>685</v>
      </c>
      <c r="S218">
        <v>853</v>
      </c>
      <c r="T218">
        <v>616</v>
      </c>
    </row>
    <row r="219" spans="15:20" x14ac:dyDescent="0.3">
      <c r="O219">
        <v>218</v>
      </c>
      <c r="P219" t="s">
        <v>169</v>
      </c>
      <c r="Q219" t="s">
        <v>37</v>
      </c>
      <c r="R219">
        <v>553</v>
      </c>
      <c r="S219">
        <v>1011</v>
      </c>
      <c r="T219">
        <v>592</v>
      </c>
    </row>
    <row r="220" spans="15:20" x14ac:dyDescent="0.3">
      <c r="O220">
        <v>219</v>
      </c>
      <c r="P220" t="s">
        <v>170</v>
      </c>
      <c r="Q220" t="s">
        <v>34</v>
      </c>
      <c r="R220">
        <v>831</v>
      </c>
      <c r="S220">
        <v>706</v>
      </c>
      <c r="T220">
        <v>619</v>
      </c>
    </row>
    <row r="221" spans="15:20" x14ac:dyDescent="0.3">
      <c r="O221">
        <v>220</v>
      </c>
      <c r="P221" t="s">
        <v>170</v>
      </c>
      <c r="Q221" t="s">
        <v>37</v>
      </c>
      <c r="R221">
        <v>576</v>
      </c>
      <c r="S221">
        <v>1091</v>
      </c>
      <c r="T221">
        <v>487</v>
      </c>
    </row>
    <row r="222" spans="15:20" x14ac:dyDescent="0.3">
      <c r="O222">
        <v>221</v>
      </c>
      <c r="P222" t="s">
        <v>171</v>
      </c>
      <c r="Q222" t="s">
        <v>34</v>
      </c>
      <c r="R222">
        <v>737</v>
      </c>
      <c r="S222">
        <v>801</v>
      </c>
      <c r="T222">
        <v>616</v>
      </c>
    </row>
    <row r="223" spans="15:20" x14ac:dyDescent="0.3">
      <c r="O223">
        <v>222</v>
      </c>
      <c r="P223" t="s">
        <v>171</v>
      </c>
      <c r="Q223" t="s">
        <v>37</v>
      </c>
      <c r="R223">
        <v>912</v>
      </c>
      <c r="S223">
        <v>778</v>
      </c>
      <c r="T223">
        <v>465</v>
      </c>
    </row>
    <row r="224" spans="15:20" x14ac:dyDescent="0.3">
      <c r="O224">
        <v>223</v>
      </c>
      <c r="P224" t="s">
        <v>172</v>
      </c>
      <c r="Q224" t="s">
        <v>34</v>
      </c>
      <c r="R224">
        <v>832</v>
      </c>
      <c r="S224">
        <v>704</v>
      </c>
      <c r="T224">
        <v>616</v>
      </c>
    </row>
    <row r="225" spans="15:20" x14ac:dyDescent="0.3">
      <c r="O225">
        <v>224</v>
      </c>
      <c r="P225" t="s">
        <v>172</v>
      </c>
      <c r="Q225" t="s">
        <v>37</v>
      </c>
      <c r="R225">
        <v>553</v>
      </c>
      <c r="S225">
        <v>1071</v>
      </c>
      <c r="T225">
        <v>533</v>
      </c>
    </row>
    <row r="226" spans="15:20" x14ac:dyDescent="0.3">
      <c r="O226">
        <v>225</v>
      </c>
      <c r="P226" t="s">
        <v>173</v>
      </c>
      <c r="Q226" t="s">
        <v>34</v>
      </c>
      <c r="R226">
        <v>842</v>
      </c>
      <c r="S226">
        <v>698</v>
      </c>
      <c r="T226">
        <v>615</v>
      </c>
    </row>
    <row r="227" spans="15:20" x14ac:dyDescent="0.3">
      <c r="O227">
        <v>226</v>
      </c>
      <c r="P227" t="s">
        <v>173</v>
      </c>
      <c r="Q227" t="s">
        <v>37</v>
      </c>
      <c r="R227">
        <v>630</v>
      </c>
      <c r="S227">
        <v>924</v>
      </c>
      <c r="T227">
        <v>603</v>
      </c>
    </row>
    <row r="228" spans="15:20" x14ac:dyDescent="0.3">
      <c r="O228">
        <v>227</v>
      </c>
      <c r="P228" t="s">
        <v>174</v>
      </c>
      <c r="Q228" t="s">
        <v>34</v>
      </c>
      <c r="R228">
        <v>417</v>
      </c>
      <c r="S228">
        <v>529</v>
      </c>
      <c r="T228">
        <v>1209</v>
      </c>
    </row>
    <row r="229" spans="15:20" x14ac:dyDescent="0.3">
      <c r="O229">
        <v>228</v>
      </c>
      <c r="P229" t="s">
        <v>174</v>
      </c>
      <c r="Q229" t="s">
        <v>37</v>
      </c>
      <c r="R229">
        <v>643</v>
      </c>
      <c r="S229">
        <v>201</v>
      </c>
      <c r="T229">
        <v>1315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2160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2160</v>
      </c>
    </row>
    <row r="232" spans="15:20" x14ac:dyDescent="0.3">
      <c r="O232">
        <v>231</v>
      </c>
      <c r="P232" t="s">
        <v>176</v>
      </c>
      <c r="Q232" t="s">
        <v>34</v>
      </c>
      <c r="R232">
        <v>790</v>
      </c>
      <c r="S232">
        <v>754</v>
      </c>
      <c r="T232">
        <v>615</v>
      </c>
    </row>
    <row r="233" spans="15:20" x14ac:dyDescent="0.3">
      <c r="O233">
        <v>232</v>
      </c>
      <c r="P233" t="s">
        <v>176</v>
      </c>
      <c r="Q233" t="s">
        <v>37</v>
      </c>
      <c r="R233">
        <v>729</v>
      </c>
      <c r="S233">
        <v>792</v>
      </c>
      <c r="T233">
        <v>631</v>
      </c>
    </row>
    <row r="234" spans="15:20" x14ac:dyDescent="0.3">
      <c r="O234">
        <v>233</v>
      </c>
      <c r="P234" t="s">
        <v>177</v>
      </c>
      <c r="Q234" t="s">
        <v>34</v>
      </c>
      <c r="R234">
        <v>565</v>
      </c>
      <c r="S234">
        <v>970</v>
      </c>
      <c r="T234">
        <v>621</v>
      </c>
    </row>
    <row r="235" spans="15:20" x14ac:dyDescent="0.3">
      <c r="O235">
        <v>234</v>
      </c>
      <c r="P235" t="s">
        <v>177</v>
      </c>
      <c r="Q235" t="s">
        <v>37</v>
      </c>
      <c r="R235">
        <v>1219</v>
      </c>
      <c r="S235">
        <v>501</v>
      </c>
      <c r="T235">
        <v>437</v>
      </c>
    </row>
    <row r="236" spans="15:20" x14ac:dyDescent="0.3">
      <c r="O236">
        <v>235</v>
      </c>
      <c r="P236" t="s">
        <v>178</v>
      </c>
      <c r="Q236" t="s">
        <v>34</v>
      </c>
      <c r="R236">
        <v>951</v>
      </c>
      <c r="S236">
        <v>789</v>
      </c>
      <c r="T236">
        <v>415</v>
      </c>
    </row>
    <row r="237" spans="15:20" x14ac:dyDescent="0.3">
      <c r="O237">
        <v>236</v>
      </c>
      <c r="P237" t="s">
        <v>178</v>
      </c>
      <c r="Q237" t="s">
        <v>37</v>
      </c>
      <c r="R237">
        <v>865</v>
      </c>
      <c r="S237">
        <v>612</v>
      </c>
      <c r="T237">
        <v>677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2160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2160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2160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2160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2162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2160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2160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2160</v>
      </c>
    </row>
    <row r="246" spans="15:20" x14ac:dyDescent="0.3">
      <c r="O246">
        <v>245</v>
      </c>
      <c r="P246" t="s">
        <v>183</v>
      </c>
      <c r="Q246" t="s">
        <v>34</v>
      </c>
      <c r="R246">
        <v>817</v>
      </c>
      <c r="S246">
        <v>727</v>
      </c>
      <c r="T246">
        <v>610</v>
      </c>
    </row>
    <row r="247" spans="15:20" x14ac:dyDescent="0.3">
      <c r="O247">
        <v>246</v>
      </c>
      <c r="P247" t="s">
        <v>183</v>
      </c>
      <c r="Q247" t="s">
        <v>37</v>
      </c>
      <c r="R247">
        <v>845</v>
      </c>
      <c r="S247">
        <v>684</v>
      </c>
      <c r="T247">
        <v>626</v>
      </c>
    </row>
    <row r="248" spans="15:20" x14ac:dyDescent="0.3">
      <c r="O248">
        <v>247</v>
      </c>
      <c r="P248" t="s">
        <v>184</v>
      </c>
      <c r="Q248" t="s">
        <v>34</v>
      </c>
      <c r="R248">
        <v>777</v>
      </c>
      <c r="S248">
        <v>737</v>
      </c>
      <c r="T248">
        <v>637</v>
      </c>
    </row>
    <row r="249" spans="15:20" x14ac:dyDescent="0.3">
      <c r="O249">
        <v>248</v>
      </c>
      <c r="P249" t="s">
        <v>184</v>
      </c>
      <c r="Q249" t="s">
        <v>37</v>
      </c>
      <c r="R249">
        <v>855</v>
      </c>
      <c r="S249">
        <v>696</v>
      </c>
      <c r="T249">
        <v>604</v>
      </c>
    </row>
    <row r="250" spans="15:20" x14ac:dyDescent="0.3">
      <c r="O250">
        <v>249</v>
      </c>
      <c r="P250" t="s">
        <v>185</v>
      </c>
      <c r="Q250" t="s">
        <v>34</v>
      </c>
      <c r="R250">
        <v>785</v>
      </c>
      <c r="S250">
        <v>757</v>
      </c>
      <c r="T250">
        <v>610</v>
      </c>
    </row>
    <row r="251" spans="15:20" x14ac:dyDescent="0.3">
      <c r="O251">
        <v>250</v>
      </c>
      <c r="P251" t="s">
        <v>185</v>
      </c>
      <c r="Q251" t="s">
        <v>37</v>
      </c>
      <c r="R251">
        <v>606</v>
      </c>
      <c r="S251">
        <v>930</v>
      </c>
      <c r="T251">
        <v>618</v>
      </c>
    </row>
    <row r="252" spans="15:20" x14ac:dyDescent="0.3">
      <c r="O252">
        <v>251</v>
      </c>
      <c r="P252" t="s">
        <v>186</v>
      </c>
      <c r="Q252" t="s">
        <v>34</v>
      </c>
      <c r="R252">
        <v>661</v>
      </c>
      <c r="S252">
        <v>855</v>
      </c>
      <c r="T252">
        <v>638</v>
      </c>
    </row>
    <row r="253" spans="15:20" x14ac:dyDescent="0.3">
      <c r="O253">
        <v>252</v>
      </c>
      <c r="P253" t="s">
        <v>186</v>
      </c>
      <c r="Q253" t="s">
        <v>37</v>
      </c>
      <c r="R253">
        <v>519</v>
      </c>
      <c r="S253">
        <v>1032</v>
      </c>
      <c r="T253">
        <v>606</v>
      </c>
    </row>
    <row r="254" spans="15:20" x14ac:dyDescent="0.3">
      <c r="O254">
        <v>253</v>
      </c>
      <c r="P254" t="s">
        <v>187</v>
      </c>
      <c r="Q254" t="s">
        <v>34</v>
      </c>
      <c r="R254">
        <v>783</v>
      </c>
      <c r="S254">
        <v>757</v>
      </c>
      <c r="T254">
        <v>613</v>
      </c>
    </row>
    <row r="255" spans="15:20" x14ac:dyDescent="0.3">
      <c r="O255">
        <v>254</v>
      </c>
      <c r="P255" t="s">
        <v>187</v>
      </c>
      <c r="Q255" t="s">
        <v>37</v>
      </c>
      <c r="R255">
        <v>972</v>
      </c>
      <c r="S255">
        <v>592</v>
      </c>
      <c r="T255">
        <v>591</v>
      </c>
    </row>
    <row r="256" spans="15:20" x14ac:dyDescent="0.3">
      <c r="O256">
        <v>255</v>
      </c>
      <c r="P256" t="s">
        <v>188</v>
      </c>
      <c r="Q256" t="s">
        <v>34</v>
      </c>
      <c r="R256">
        <v>729</v>
      </c>
      <c r="S256">
        <v>725</v>
      </c>
      <c r="T256">
        <v>702</v>
      </c>
    </row>
    <row r="257" spans="15:20" x14ac:dyDescent="0.3">
      <c r="O257">
        <v>256</v>
      </c>
      <c r="P257" t="s">
        <v>188</v>
      </c>
      <c r="Q257" t="s">
        <v>37</v>
      </c>
      <c r="R257">
        <v>550</v>
      </c>
      <c r="S257">
        <v>848</v>
      </c>
      <c r="T257">
        <v>757</v>
      </c>
    </row>
    <row r="258" spans="15:20" x14ac:dyDescent="0.3">
      <c r="O258">
        <v>257</v>
      </c>
      <c r="P258" t="s">
        <v>189</v>
      </c>
      <c r="Q258" t="s">
        <v>34</v>
      </c>
      <c r="R258">
        <v>618</v>
      </c>
      <c r="S258">
        <v>778</v>
      </c>
      <c r="T258">
        <v>757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2160</v>
      </c>
    </row>
    <row r="260" spans="15:20" x14ac:dyDescent="0.3">
      <c r="O260">
        <v>259</v>
      </c>
      <c r="P260" t="s">
        <v>190</v>
      </c>
      <c r="Q260" t="s">
        <v>34</v>
      </c>
      <c r="R260">
        <v>948</v>
      </c>
      <c r="S260">
        <v>580</v>
      </c>
      <c r="T260">
        <v>627</v>
      </c>
    </row>
    <row r="261" spans="15:20" x14ac:dyDescent="0.3">
      <c r="O261">
        <v>260</v>
      </c>
      <c r="P261" t="s">
        <v>190</v>
      </c>
      <c r="Q261" t="s">
        <v>37</v>
      </c>
      <c r="R261">
        <v>778</v>
      </c>
      <c r="S261">
        <v>884</v>
      </c>
      <c r="T261">
        <v>493</v>
      </c>
    </row>
    <row r="262" spans="15:20" x14ac:dyDescent="0.3">
      <c r="O262">
        <v>261</v>
      </c>
      <c r="P262" t="s">
        <v>191</v>
      </c>
      <c r="Q262" t="s">
        <v>34</v>
      </c>
      <c r="R262">
        <v>645</v>
      </c>
      <c r="S262">
        <v>877</v>
      </c>
      <c r="T262">
        <v>632</v>
      </c>
    </row>
    <row r="263" spans="15:20" x14ac:dyDescent="0.3">
      <c r="O263">
        <v>262</v>
      </c>
      <c r="P263" t="s">
        <v>191</v>
      </c>
      <c r="Q263" t="s">
        <v>37</v>
      </c>
      <c r="R263">
        <v>835</v>
      </c>
      <c r="S263">
        <v>812</v>
      </c>
      <c r="T263">
        <v>506</v>
      </c>
    </row>
    <row r="264" spans="15:20" x14ac:dyDescent="0.3">
      <c r="O264">
        <v>263</v>
      </c>
      <c r="P264" t="s">
        <v>192</v>
      </c>
      <c r="Q264" t="s">
        <v>34</v>
      </c>
      <c r="R264">
        <v>582</v>
      </c>
      <c r="S264">
        <v>938</v>
      </c>
      <c r="T264">
        <v>637</v>
      </c>
    </row>
    <row r="265" spans="15:20" x14ac:dyDescent="0.3">
      <c r="O265">
        <v>264</v>
      </c>
      <c r="P265" t="s">
        <v>192</v>
      </c>
      <c r="Q265" t="s">
        <v>37</v>
      </c>
      <c r="R265">
        <v>640</v>
      </c>
      <c r="S265">
        <v>893</v>
      </c>
      <c r="T265">
        <v>621</v>
      </c>
    </row>
    <row r="266" spans="15:20" x14ac:dyDescent="0.3">
      <c r="O266">
        <v>265</v>
      </c>
      <c r="P266" t="s">
        <v>193</v>
      </c>
      <c r="Q266" t="s">
        <v>34</v>
      </c>
      <c r="R266">
        <v>543</v>
      </c>
      <c r="S266">
        <v>991</v>
      </c>
      <c r="T266">
        <v>620</v>
      </c>
    </row>
    <row r="267" spans="15:20" x14ac:dyDescent="0.3">
      <c r="O267">
        <v>266</v>
      </c>
      <c r="P267" t="s">
        <v>193</v>
      </c>
      <c r="Q267" t="s">
        <v>37</v>
      </c>
      <c r="R267">
        <v>663</v>
      </c>
      <c r="S267">
        <v>606</v>
      </c>
      <c r="T267">
        <v>885</v>
      </c>
    </row>
    <row r="268" spans="15:20" x14ac:dyDescent="0.3">
      <c r="O268">
        <v>267</v>
      </c>
      <c r="P268" t="s">
        <v>194</v>
      </c>
      <c r="Q268" t="s">
        <v>34</v>
      </c>
      <c r="R268">
        <v>603</v>
      </c>
      <c r="S268">
        <v>894</v>
      </c>
      <c r="T268">
        <v>656</v>
      </c>
    </row>
    <row r="269" spans="15:20" x14ac:dyDescent="0.3">
      <c r="O269">
        <v>268</v>
      </c>
      <c r="P269" t="s">
        <v>194</v>
      </c>
      <c r="Q269" t="s">
        <v>37</v>
      </c>
      <c r="R269">
        <v>750</v>
      </c>
      <c r="S269">
        <v>843</v>
      </c>
      <c r="T269">
        <v>561</v>
      </c>
    </row>
    <row r="270" spans="15:20" x14ac:dyDescent="0.3">
      <c r="O270">
        <v>269</v>
      </c>
      <c r="P270" t="s">
        <v>195</v>
      </c>
      <c r="Q270" t="s">
        <v>34</v>
      </c>
      <c r="R270">
        <v>570</v>
      </c>
      <c r="S270">
        <v>878</v>
      </c>
      <c r="T270">
        <v>705</v>
      </c>
    </row>
    <row r="271" spans="15:20" x14ac:dyDescent="0.3">
      <c r="O271">
        <v>270</v>
      </c>
      <c r="P271" t="s">
        <v>195</v>
      </c>
      <c r="Q271" t="s">
        <v>37</v>
      </c>
      <c r="R271">
        <v>569</v>
      </c>
      <c r="S271">
        <v>815</v>
      </c>
      <c r="T271">
        <v>770</v>
      </c>
    </row>
    <row r="272" spans="15:20" x14ac:dyDescent="0.3">
      <c r="O272">
        <v>271</v>
      </c>
      <c r="P272" t="s">
        <v>196</v>
      </c>
      <c r="Q272" t="s">
        <v>34</v>
      </c>
      <c r="R272">
        <v>773</v>
      </c>
      <c r="S272">
        <v>625</v>
      </c>
      <c r="T272">
        <v>758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2160</v>
      </c>
    </row>
    <row r="274" spans="15:20" x14ac:dyDescent="0.3">
      <c r="O274">
        <v>273</v>
      </c>
      <c r="P274" t="s">
        <v>197</v>
      </c>
      <c r="Q274" t="s">
        <v>34</v>
      </c>
      <c r="R274">
        <v>667</v>
      </c>
      <c r="S274">
        <v>875</v>
      </c>
      <c r="T274">
        <v>613</v>
      </c>
    </row>
    <row r="275" spans="15:20" x14ac:dyDescent="0.3">
      <c r="O275">
        <v>274</v>
      </c>
      <c r="P275" t="s">
        <v>197</v>
      </c>
      <c r="Q275" t="s">
        <v>37</v>
      </c>
      <c r="R275">
        <v>641</v>
      </c>
      <c r="S275">
        <v>1001</v>
      </c>
      <c r="T275">
        <v>512</v>
      </c>
    </row>
    <row r="276" spans="15:20" x14ac:dyDescent="0.3">
      <c r="O276">
        <v>275</v>
      </c>
      <c r="P276" t="s">
        <v>198</v>
      </c>
      <c r="Q276" t="s">
        <v>34</v>
      </c>
      <c r="R276">
        <v>723</v>
      </c>
      <c r="S276">
        <v>824</v>
      </c>
      <c r="T276">
        <v>608</v>
      </c>
    </row>
    <row r="277" spans="15:20" x14ac:dyDescent="0.3">
      <c r="O277">
        <v>276</v>
      </c>
      <c r="P277" t="s">
        <v>198</v>
      </c>
      <c r="Q277" t="s">
        <v>37</v>
      </c>
      <c r="R277">
        <v>587</v>
      </c>
      <c r="S277">
        <v>1020</v>
      </c>
      <c r="T277">
        <v>547</v>
      </c>
    </row>
    <row r="278" spans="15:20" x14ac:dyDescent="0.3">
      <c r="O278">
        <v>277</v>
      </c>
      <c r="P278" t="s">
        <v>199</v>
      </c>
      <c r="Q278" t="s">
        <v>34</v>
      </c>
      <c r="R278">
        <v>688</v>
      </c>
      <c r="S278">
        <v>848</v>
      </c>
      <c r="T278">
        <v>618</v>
      </c>
    </row>
    <row r="279" spans="15:20" x14ac:dyDescent="0.3">
      <c r="O279">
        <v>278</v>
      </c>
      <c r="P279" t="s">
        <v>199</v>
      </c>
      <c r="Q279" t="s">
        <v>37</v>
      </c>
      <c r="R279">
        <v>610</v>
      </c>
      <c r="S279">
        <v>909</v>
      </c>
      <c r="T279">
        <v>634</v>
      </c>
    </row>
    <row r="280" spans="15:20" x14ac:dyDescent="0.3">
      <c r="O280">
        <v>279</v>
      </c>
      <c r="P280" t="s">
        <v>200</v>
      </c>
      <c r="Q280" t="s">
        <v>34</v>
      </c>
      <c r="R280">
        <v>825</v>
      </c>
      <c r="S280">
        <v>714</v>
      </c>
      <c r="T280">
        <v>617</v>
      </c>
    </row>
    <row r="281" spans="15:20" x14ac:dyDescent="0.3">
      <c r="O281">
        <v>280</v>
      </c>
      <c r="P281" t="s">
        <v>200</v>
      </c>
      <c r="Q281" t="s">
        <v>37</v>
      </c>
      <c r="R281">
        <v>586</v>
      </c>
      <c r="S281">
        <v>1013</v>
      </c>
      <c r="T281">
        <v>556</v>
      </c>
    </row>
    <row r="282" spans="15:20" x14ac:dyDescent="0.3">
      <c r="O282">
        <v>281</v>
      </c>
      <c r="P282" t="s">
        <v>201</v>
      </c>
      <c r="Q282" t="s">
        <v>34</v>
      </c>
      <c r="R282">
        <v>734</v>
      </c>
      <c r="S282">
        <v>807</v>
      </c>
      <c r="T282">
        <v>612</v>
      </c>
    </row>
    <row r="283" spans="15:20" x14ac:dyDescent="0.3">
      <c r="O283">
        <v>282</v>
      </c>
      <c r="P283" t="s">
        <v>201</v>
      </c>
      <c r="Q283" t="s">
        <v>37</v>
      </c>
      <c r="R283">
        <v>765</v>
      </c>
      <c r="S283">
        <v>893</v>
      </c>
      <c r="T283">
        <v>496</v>
      </c>
    </row>
    <row r="284" spans="15:20" x14ac:dyDescent="0.3">
      <c r="O284">
        <v>283</v>
      </c>
      <c r="P284" t="s">
        <v>202</v>
      </c>
      <c r="Q284" t="s">
        <v>34</v>
      </c>
      <c r="R284">
        <v>684</v>
      </c>
      <c r="S284">
        <v>730</v>
      </c>
      <c r="T284">
        <v>741</v>
      </c>
    </row>
    <row r="285" spans="15:20" x14ac:dyDescent="0.3">
      <c r="O285">
        <v>284</v>
      </c>
      <c r="P285" t="s">
        <v>202</v>
      </c>
      <c r="Q285" t="s">
        <v>37</v>
      </c>
      <c r="R285">
        <v>467</v>
      </c>
      <c r="S285">
        <v>925</v>
      </c>
      <c r="T285">
        <v>764</v>
      </c>
    </row>
    <row r="286" spans="15:20" x14ac:dyDescent="0.3">
      <c r="O286">
        <v>285</v>
      </c>
      <c r="P286" t="s">
        <v>203</v>
      </c>
      <c r="Q286" t="s">
        <v>34</v>
      </c>
      <c r="R286">
        <v>0</v>
      </c>
      <c r="S286">
        <v>0</v>
      </c>
      <c r="T286">
        <v>2160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2160</v>
      </c>
    </row>
    <row r="288" spans="15:20" x14ac:dyDescent="0.3">
      <c r="O288">
        <v>287</v>
      </c>
      <c r="P288" t="s">
        <v>204</v>
      </c>
      <c r="Q288" t="s">
        <v>34</v>
      </c>
      <c r="R288">
        <v>510</v>
      </c>
      <c r="S288">
        <v>1033</v>
      </c>
      <c r="T288">
        <v>611</v>
      </c>
    </row>
    <row r="289" spans="15:20" x14ac:dyDescent="0.3">
      <c r="O289">
        <v>288</v>
      </c>
      <c r="P289" t="s">
        <v>204</v>
      </c>
      <c r="Q289" t="s">
        <v>37</v>
      </c>
      <c r="R289">
        <v>831</v>
      </c>
      <c r="S289">
        <v>824</v>
      </c>
      <c r="T289">
        <v>499</v>
      </c>
    </row>
    <row r="290" spans="15:20" x14ac:dyDescent="0.3">
      <c r="O290">
        <v>289</v>
      </c>
      <c r="P290" t="s">
        <v>205</v>
      </c>
      <c r="Q290" t="s">
        <v>34</v>
      </c>
      <c r="R290">
        <v>565</v>
      </c>
      <c r="S290">
        <v>972</v>
      </c>
      <c r="T290">
        <v>617</v>
      </c>
    </row>
    <row r="291" spans="15:20" x14ac:dyDescent="0.3">
      <c r="O291">
        <v>290</v>
      </c>
      <c r="P291" t="s">
        <v>205</v>
      </c>
      <c r="Q291" t="s">
        <v>37</v>
      </c>
      <c r="R291">
        <v>745</v>
      </c>
      <c r="S291">
        <v>784</v>
      </c>
      <c r="T291">
        <v>625</v>
      </c>
    </row>
    <row r="292" spans="15:20" x14ac:dyDescent="0.3">
      <c r="O292">
        <v>291</v>
      </c>
      <c r="P292" t="s">
        <v>206</v>
      </c>
      <c r="Q292" t="s">
        <v>34</v>
      </c>
      <c r="R292">
        <v>550</v>
      </c>
      <c r="S292">
        <v>974</v>
      </c>
      <c r="T292">
        <v>632</v>
      </c>
    </row>
    <row r="293" spans="15:20" x14ac:dyDescent="0.3">
      <c r="O293">
        <v>292</v>
      </c>
      <c r="P293" t="s">
        <v>206</v>
      </c>
      <c r="Q293" t="s">
        <v>37</v>
      </c>
      <c r="R293">
        <v>682</v>
      </c>
      <c r="S293">
        <v>961</v>
      </c>
      <c r="T293">
        <v>511</v>
      </c>
    </row>
    <row r="294" spans="15:20" x14ac:dyDescent="0.3">
      <c r="O294">
        <v>293</v>
      </c>
      <c r="P294" t="s">
        <v>207</v>
      </c>
      <c r="Q294" t="s">
        <v>34</v>
      </c>
      <c r="R294">
        <v>674</v>
      </c>
      <c r="S294">
        <v>834</v>
      </c>
      <c r="T294">
        <v>645</v>
      </c>
    </row>
    <row r="295" spans="15:20" x14ac:dyDescent="0.3">
      <c r="O295">
        <v>294</v>
      </c>
      <c r="P295" t="s">
        <v>207</v>
      </c>
      <c r="Q295" t="s">
        <v>37</v>
      </c>
      <c r="R295">
        <v>742</v>
      </c>
      <c r="S295">
        <v>899</v>
      </c>
      <c r="T295">
        <v>513</v>
      </c>
    </row>
    <row r="296" spans="15:20" x14ac:dyDescent="0.3">
      <c r="O296">
        <v>295</v>
      </c>
      <c r="P296" t="s">
        <v>208</v>
      </c>
      <c r="Q296" t="s">
        <v>34</v>
      </c>
      <c r="R296">
        <v>514</v>
      </c>
      <c r="S296">
        <v>974</v>
      </c>
      <c r="T296">
        <v>665</v>
      </c>
    </row>
    <row r="297" spans="15:20" x14ac:dyDescent="0.3">
      <c r="O297">
        <v>296</v>
      </c>
      <c r="P297" t="s">
        <v>208</v>
      </c>
      <c r="Q297" t="s">
        <v>37</v>
      </c>
      <c r="R297">
        <v>823</v>
      </c>
      <c r="S297">
        <v>718</v>
      </c>
      <c r="T297">
        <v>615</v>
      </c>
    </row>
    <row r="298" spans="15:20" x14ac:dyDescent="0.3">
      <c r="O298">
        <v>297</v>
      </c>
      <c r="P298" t="s">
        <v>209</v>
      </c>
      <c r="Q298" t="s">
        <v>34</v>
      </c>
      <c r="R298">
        <v>642</v>
      </c>
      <c r="S298">
        <v>789</v>
      </c>
      <c r="T298">
        <v>723</v>
      </c>
    </row>
    <row r="299" spans="15:20" x14ac:dyDescent="0.3">
      <c r="O299">
        <v>298</v>
      </c>
      <c r="P299" t="s">
        <v>209</v>
      </c>
      <c r="Q299" t="s">
        <v>37</v>
      </c>
      <c r="R299">
        <v>590</v>
      </c>
      <c r="S299">
        <v>779</v>
      </c>
      <c r="T299">
        <v>786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2104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2160</v>
      </c>
    </row>
    <row r="302" spans="15:20" x14ac:dyDescent="0.3">
      <c r="O302">
        <v>301</v>
      </c>
      <c r="P302" t="s">
        <v>33</v>
      </c>
      <c r="Q302" t="s">
        <v>34</v>
      </c>
      <c r="R302">
        <v>750</v>
      </c>
      <c r="S302">
        <v>797</v>
      </c>
      <c r="T302">
        <v>608</v>
      </c>
    </row>
    <row r="303" spans="15:20" x14ac:dyDescent="0.3">
      <c r="O303">
        <v>302</v>
      </c>
      <c r="P303" t="s">
        <v>33</v>
      </c>
      <c r="Q303" t="s">
        <v>37</v>
      </c>
      <c r="R303">
        <v>876</v>
      </c>
      <c r="S303">
        <v>693</v>
      </c>
      <c r="T303">
        <v>588</v>
      </c>
    </row>
    <row r="304" spans="15:20" x14ac:dyDescent="0.3">
      <c r="O304">
        <v>303</v>
      </c>
      <c r="P304" t="s">
        <v>39</v>
      </c>
      <c r="Q304" t="s">
        <v>34</v>
      </c>
      <c r="R304">
        <v>714</v>
      </c>
      <c r="S304">
        <v>808</v>
      </c>
      <c r="T304">
        <v>631</v>
      </c>
    </row>
    <row r="305" spans="15:20" x14ac:dyDescent="0.3">
      <c r="O305">
        <v>304</v>
      </c>
      <c r="P305" t="s">
        <v>39</v>
      </c>
      <c r="Q305" t="s">
        <v>37</v>
      </c>
      <c r="R305">
        <v>843</v>
      </c>
      <c r="S305">
        <v>637</v>
      </c>
      <c r="T305">
        <v>676</v>
      </c>
    </row>
    <row r="306" spans="15:20" x14ac:dyDescent="0.3">
      <c r="O306">
        <v>305</v>
      </c>
      <c r="P306" t="s">
        <v>43</v>
      </c>
      <c r="Q306" t="s">
        <v>34</v>
      </c>
      <c r="R306">
        <v>787</v>
      </c>
      <c r="S306">
        <v>756</v>
      </c>
      <c r="T306">
        <v>611</v>
      </c>
    </row>
    <row r="307" spans="15:20" x14ac:dyDescent="0.3">
      <c r="O307">
        <v>306</v>
      </c>
      <c r="P307" t="s">
        <v>43</v>
      </c>
      <c r="Q307" t="s">
        <v>37</v>
      </c>
      <c r="R307">
        <v>621</v>
      </c>
      <c r="S307">
        <v>1025</v>
      </c>
      <c r="T307">
        <v>507</v>
      </c>
    </row>
    <row r="308" spans="15:20" x14ac:dyDescent="0.3">
      <c r="O308">
        <v>307</v>
      </c>
      <c r="P308" t="s">
        <v>48</v>
      </c>
      <c r="Q308" t="s">
        <v>34</v>
      </c>
      <c r="R308">
        <v>465</v>
      </c>
      <c r="S308">
        <v>563</v>
      </c>
      <c r="T308">
        <v>1127</v>
      </c>
    </row>
    <row r="309" spans="15:20" x14ac:dyDescent="0.3">
      <c r="O309">
        <v>308</v>
      </c>
      <c r="P309" t="s">
        <v>48</v>
      </c>
      <c r="Q309" t="s">
        <v>37</v>
      </c>
      <c r="R309">
        <v>852</v>
      </c>
      <c r="S309">
        <v>714</v>
      </c>
      <c r="T309">
        <v>589</v>
      </c>
    </row>
    <row r="310" spans="15:20" x14ac:dyDescent="0.3">
      <c r="O310">
        <v>309</v>
      </c>
      <c r="P310" t="s">
        <v>52</v>
      </c>
      <c r="Q310" t="s">
        <v>34</v>
      </c>
      <c r="R310">
        <v>459</v>
      </c>
      <c r="S310">
        <v>565</v>
      </c>
      <c r="T310">
        <v>1133</v>
      </c>
    </row>
    <row r="311" spans="15:20" x14ac:dyDescent="0.3">
      <c r="O311">
        <v>310</v>
      </c>
      <c r="P311" t="s">
        <v>52</v>
      </c>
      <c r="Q311" t="s">
        <v>37</v>
      </c>
      <c r="R311">
        <v>704</v>
      </c>
      <c r="S311">
        <v>831</v>
      </c>
      <c r="T311">
        <v>618</v>
      </c>
    </row>
    <row r="312" spans="15:20" x14ac:dyDescent="0.3">
      <c r="O312">
        <v>311</v>
      </c>
      <c r="P312" t="s">
        <v>56</v>
      </c>
      <c r="Q312" t="s">
        <v>34</v>
      </c>
      <c r="R312">
        <v>665</v>
      </c>
      <c r="S312">
        <v>754</v>
      </c>
      <c r="T312">
        <v>737</v>
      </c>
    </row>
    <row r="313" spans="15:20" x14ac:dyDescent="0.3">
      <c r="O313">
        <v>312</v>
      </c>
      <c r="P313" t="s">
        <v>56</v>
      </c>
      <c r="Q313" t="s">
        <v>37</v>
      </c>
      <c r="R313">
        <v>515</v>
      </c>
      <c r="S313">
        <v>867</v>
      </c>
      <c r="T313">
        <v>775</v>
      </c>
    </row>
    <row r="314" spans="15:20" x14ac:dyDescent="0.3">
      <c r="O314">
        <v>313</v>
      </c>
      <c r="P314" t="s">
        <v>60</v>
      </c>
      <c r="Q314" t="s">
        <v>34</v>
      </c>
      <c r="R314">
        <v>0</v>
      </c>
      <c r="S314">
        <v>0</v>
      </c>
      <c r="T314">
        <v>2160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2160</v>
      </c>
    </row>
    <row r="316" spans="15:20" x14ac:dyDescent="0.3">
      <c r="O316">
        <v>315</v>
      </c>
      <c r="P316" t="s">
        <v>62</v>
      </c>
      <c r="Q316" t="s">
        <v>34</v>
      </c>
      <c r="R316">
        <v>557</v>
      </c>
      <c r="S316">
        <v>963</v>
      </c>
      <c r="T316">
        <v>635</v>
      </c>
    </row>
    <row r="317" spans="15:20" x14ac:dyDescent="0.3">
      <c r="O317">
        <v>316</v>
      </c>
      <c r="P317" t="s">
        <v>62</v>
      </c>
      <c r="Q317" t="s">
        <v>37</v>
      </c>
      <c r="R317">
        <v>665</v>
      </c>
      <c r="S317">
        <v>988</v>
      </c>
      <c r="T317">
        <v>501</v>
      </c>
    </row>
    <row r="318" spans="15:20" x14ac:dyDescent="0.3">
      <c r="O318">
        <v>317</v>
      </c>
      <c r="P318" t="s">
        <v>64</v>
      </c>
      <c r="Q318" t="s">
        <v>34</v>
      </c>
      <c r="R318">
        <v>439</v>
      </c>
      <c r="S318">
        <v>1085</v>
      </c>
      <c r="T318">
        <v>629</v>
      </c>
    </row>
    <row r="319" spans="15:20" x14ac:dyDescent="0.3">
      <c r="O319">
        <v>318</v>
      </c>
      <c r="P319" t="s">
        <v>64</v>
      </c>
      <c r="Q319" t="s">
        <v>37</v>
      </c>
      <c r="R319">
        <v>678</v>
      </c>
      <c r="S319">
        <v>793</v>
      </c>
      <c r="T319">
        <v>683</v>
      </c>
    </row>
    <row r="320" spans="15:20" x14ac:dyDescent="0.3">
      <c r="O320">
        <v>319</v>
      </c>
      <c r="P320" t="s">
        <v>66</v>
      </c>
      <c r="Q320" t="s">
        <v>34</v>
      </c>
      <c r="R320">
        <v>680</v>
      </c>
      <c r="S320">
        <v>835</v>
      </c>
      <c r="T320">
        <v>638</v>
      </c>
    </row>
    <row r="321" spans="15:20" x14ac:dyDescent="0.3">
      <c r="O321">
        <v>320</v>
      </c>
      <c r="P321" t="s">
        <v>66</v>
      </c>
      <c r="Q321" t="s">
        <v>37</v>
      </c>
      <c r="R321">
        <v>715</v>
      </c>
      <c r="S321">
        <v>764</v>
      </c>
      <c r="T321">
        <v>676</v>
      </c>
    </row>
    <row r="322" spans="15:20" x14ac:dyDescent="0.3">
      <c r="O322">
        <v>321</v>
      </c>
      <c r="P322" t="s">
        <v>68</v>
      </c>
      <c r="Q322" t="s">
        <v>34</v>
      </c>
      <c r="R322">
        <v>614</v>
      </c>
      <c r="S322">
        <v>911</v>
      </c>
      <c r="T322">
        <v>631</v>
      </c>
    </row>
    <row r="323" spans="15:20" x14ac:dyDescent="0.3">
      <c r="O323">
        <v>322</v>
      </c>
      <c r="P323" t="s">
        <v>68</v>
      </c>
      <c r="Q323" t="s">
        <v>37</v>
      </c>
      <c r="R323">
        <v>886</v>
      </c>
      <c r="S323">
        <v>764</v>
      </c>
      <c r="T323">
        <v>503</v>
      </c>
    </row>
    <row r="324" spans="15:20" x14ac:dyDescent="0.3">
      <c r="O324">
        <v>323</v>
      </c>
      <c r="P324" t="s">
        <v>70</v>
      </c>
      <c r="Q324" t="s">
        <v>34</v>
      </c>
      <c r="R324">
        <v>501</v>
      </c>
      <c r="S324">
        <v>989</v>
      </c>
      <c r="T324">
        <v>667</v>
      </c>
    </row>
    <row r="325" spans="15:20" x14ac:dyDescent="0.3">
      <c r="O325">
        <v>324</v>
      </c>
      <c r="P325" t="s">
        <v>70</v>
      </c>
      <c r="Q325" t="s">
        <v>37</v>
      </c>
      <c r="R325">
        <v>840</v>
      </c>
      <c r="S325">
        <v>636</v>
      </c>
      <c r="T325">
        <v>678</v>
      </c>
    </row>
    <row r="326" spans="15:20" x14ac:dyDescent="0.3">
      <c r="O326">
        <v>325</v>
      </c>
      <c r="P326" t="s">
        <v>72</v>
      </c>
      <c r="Q326" t="s">
        <v>34</v>
      </c>
      <c r="R326">
        <v>342</v>
      </c>
      <c r="S326">
        <v>634</v>
      </c>
      <c r="T326">
        <v>1180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326"/>
  <sheetViews>
    <sheetView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1915</v>
      </c>
      <c r="E2">
        <v>873</v>
      </c>
      <c r="F2">
        <v>813</v>
      </c>
      <c r="H2" t="s">
        <v>35</v>
      </c>
      <c r="I2" s="1">
        <v>0.39529411764705891</v>
      </c>
      <c r="J2" s="1">
        <v>0.40673684210526317</v>
      </c>
      <c r="K2" s="1">
        <f>IFERROR(SUMIFS(S:S,P:P,"*/01/2026")/(SUMIFS(R:R,P:P,"*/01/2026")+SUMIFS(S:S,P:P,"*/01/2026")+SUMIFS(T:T,P:P,"*/01/2026")),"")</f>
        <v>0.19962145963362701</v>
      </c>
      <c r="L2" s="1">
        <f>IFERROR(SUMIFS(R:R,P:P,"*/01/2026")/(SUMIFS(R:R,P:P,"*/01/2026")+SUMIFS(S:S,P:P,"*/01/2026")+SUMIFS(T:T,P:P,"*/01/2026")),"")</f>
        <v>0.31799643991798293</v>
      </c>
      <c r="M2" s="1">
        <f>IFERROR(SUMIFS(T:T,P:P,"*/01/2026")/(SUMIFS(R:R,P:P,"*/01/2026")+SUMIFS(S:S,P:P,"*/01/2026")+SUMIFS(T:T,P:P,"*/01/2026")),"")</f>
        <v>0.48238210044839008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3600</v>
      </c>
    </row>
    <row r="3" spans="1:20" x14ac:dyDescent="0.3">
      <c r="A3">
        <v>2</v>
      </c>
      <c r="B3" t="s">
        <v>33</v>
      </c>
      <c r="C3" t="s">
        <v>37</v>
      </c>
      <c r="D3">
        <v>1499</v>
      </c>
      <c r="E3">
        <v>935</v>
      </c>
      <c r="F3">
        <v>1168</v>
      </c>
      <c r="H3" t="s">
        <v>38</v>
      </c>
      <c r="I3" s="1">
        <v>0.39529411764705891</v>
      </c>
      <c r="J3" s="1">
        <v>0.40673684210526317</v>
      </c>
      <c r="K3" s="1">
        <f>IFERROR(SUMIFS(S:S,P:P,"*/02/2026")/(SUMIFS(R:R,P:P,"*/02/2026")+SUMIFS(S:S,P:P,"*/02/2026")+SUMIFS(T:T,P:P,"*/02/2026")),"")</f>
        <v>0.17090660239816716</v>
      </c>
      <c r="L3" s="1">
        <f>IFERROR(SUMIFS(R:R,P:P,"*/02/2026")/(SUMIFS(R:R,P:P,"*/02/2026")+SUMIFS(S:S,P:P,"*/02/2026")+SUMIFS(T:T,P:P,"*/02/2026")),"")</f>
        <v>0.22880280083707738</v>
      </c>
      <c r="M3" s="1">
        <f>IFERROR(SUMIFS(T:T,P:P,"*/02/2026")/(SUMIFS(R:R,P:P,"*/02/2026")+SUMIFS(S:S,P:P,"*/02/2026")+SUMIFS(T:T,P:P,"*/02/2026")),"")</f>
        <v>0.60029059676475549</v>
      </c>
      <c r="O3">
        <v>2</v>
      </c>
      <c r="P3" t="s">
        <v>36</v>
      </c>
      <c r="Q3" t="s">
        <v>37</v>
      </c>
      <c r="R3">
        <v>174</v>
      </c>
      <c r="S3">
        <v>85</v>
      </c>
      <c r="T3">
        <v>3336</v>
      </c>
    </row>
    <row r="4" spans="1:20" x14ac:dyDescent="0.3">
      <c r="A4">
        <v>3</v>
      </c>
      <c r="B4" t="s">
        <v>39</v>
      </c>
      <c r="C4" t="s">
        <v>34</v>
      </c>
      <c r="D4">
        <v>1581</v>
      </c>
      <c r="E4">
        <v>1012</v>
      </c>
      <c r="F4">
        <v>1010</v>
      </c>
      <c r="H4" t="s">
        <v>40</v>
      </c>
      <c r="I4" s="1">
        <v>0.39529411764705891</v>
      </c>
      <c r="J4" s="1">
        <v>0.40673684210526317</v>
      </c>
      <c r="K4" s="1">
        <f>IFERROR(SUMIFS(S:S,P:P,"*/03/2026")/(SUMIFS(R:R,P:P,"*/03/2026")+SUMIFS(S:S,P:P,"*/03/2026")+SUMIFS(T:T,P:P,"*/03/2026")),"")</f>
        <v>0.22044461981329197</v>
      </c>
      <c r="L4" s="1">
        <f>IFERROR(SUMIFS(R:R,P:P,"*/03/2026")/(SUMIFS(R:R,P:P,"*/03/2026")+SUMIFS(S:S,P:P,"*/03/2026")+SUMIFS(T:T,P:P,"*/03/2026")),"")</f>
        <v>0.30642268475755757</v>
      </c>
      <c r="M4" s="1">
        <f>IFERROR(SUMIFS(T:T,P:P,"*/03/2026")/(SUMIFS(R:R,P:P,"*/03/2026")+SUMIFS(S:S,P:P,"*/03/2026")+SUMIFS(T:T,P:P,"*/03/2026")),"")</f>
        <v>0.47313269542915048</v>
      </c>
      <c r="O4">
        <v>3</v>
      </c>
      <c r="P4" t="s">
        <v>41</v>
      </c>
      <c r="Q4" t="s">
        <v>34</v>
      </c>
      <c r="R4">
        <v>1706</v>
      </c>
      <c r="S4">
        <v>998</v>
      </c>
      <c r="T4">
        <v>899</v>
      </c>
    </row>
    <row r="5" spans="1:20" x14ac:dyDescent="0.3">
      <c r="A5">
        <v>4</v>
      </c>
      <c r="B5" t="s">
        <v>39</v>
      </c>
      <c r="C5" t="s">
        <v>37</v>
      </c>
      <c r="D5">
        <v>1750</v>
      </c>
      <c r="E5">
        <v>985</v>
      </c>
      <c r="F5">
        <v>873</v>
      </c>
      <c r="H5" t="s">
        <v>42</v>
      </c>
      <c r="I5" s="1">
        <v>0.39529411764705891</v>
      </c>
      <c r="J5" s="1">
        <v>0.40673684210526317</v>
      </c>
      <c r="K5" s="1">
        <f>IFERROR(SUMIFS(S:S,P:P,"*/04/2026")/(SUMIFS(R:R,P:P,"*/04/2026")+SUMIFS(S:S,P:P,"*/04/2026")+SUMIFS(T:T,P:P,"*/04/2026")),"")</f>
        <v>0.20851398560951345</v>
      </c>
      <c r="L5" s="1">
        <f>IFERROR(SUMIFS(R:R,P:P,"*/04/2026")/(SUMIFS(R:R,P:P,"*/04/2026")+SUMIFS(S:S,P:P,"*/04/2026")+SUMIFS(T:T,P:P,"*/04/2026")),"")</f>
        <v>0.29679568748120216</v>
      </c>
      <c r="M5" s="1">
        <f>IFERROR(SUMIFS(T:T,P:P,"*/04/2026")/(SUMIFS(R:R,P:P,"*/04/2026")+SUMIFS(S:S,P:P,"*/04/2026")+SUMIFS(T:T,P:P,"*/04/2026")),"")</f>
        <v>0.49469032690928438</v>
      </c>
      <c r="O5">
        <v>4</v>
      </c>
      <c r="P5" t="s">
        <v>41</v>
      </c>
      <c r="Q5" t="s">
        <v>37</v>
      </c>
      <c r="R5">
        <v>1120</v>
      </c>
      <c r="S5">
        <v>497</v>
      </c>
      <c r="T5">
        <v>1983</v>
      </c>
    </row>
    <row r="6" spans="1:20" x14ac:dyDescent="0.3">
      <c r="A6">
        <v>5</v>
      </c>
      <c r="B6" t="s">
        <v>43</v>
      </c>
      <c r="C6" t="s">
        <v>34</v>
      </c>
      <c r="D6">
        <v>1139</v>
      </c>
      <c r="E6">
        <v>936</v>
      </c>
      <c r="F6">
        <v>1527</v>
      </c>
      <c r="H6" t="s">
        <v>44</v>
      </c>
      <c r="I6" s="1">
        <v>0.39529411764705891</v>
      </c>
      <c r="J6" s="1">
        <v>0.40673684210526317</v>
      </c>
      <c r="K6" s="1">
        <f>IFERROR(SUMIFS(S:S,P:P,"*/05/2026")/(SUMIFS(R:R,P:P,"*/05/2026")+SUMIFS(S:S,P:P,"*/05/2026")+SUMIFS(T:T,P:P,"*/05/2026")),"")</f>
        <v>0.2279842874483228</v>
      </c>
      <c r="L6" s="1">
        <f>IFERROR(SUMIFS(R:R,P:P,"*/05/2026")/(SUMIFS(R:R,P:P,"*/05/2026")+SUMIFS(S:S,P:P,"*/05/2026")+SUMIFS(T:T,P:P,"*/05/2026")),"")</f>
        <v>0.33899785452900416</v>
      </c>
      <c r="M6" s="1">
        <f>IFERROR(SUMIFS(T:T,P:P,"*/05/2026")/(SUMIFS(R:R,P:P,"*/05/2026")+SUMIFS(S:S,P:P,"*/05/2026")+SUMIFS(T:T,P:P,"*/05/2026")),"")</f>
        <v>0.43301785802267301</v>
      </c>
      <c r="O6">
        <v>5</v>
      </c>
      <c r="P6" t="s">
        <v>45</v>
      </c>
      <c r="Q6" t="s">
        <v>37</v>
      </c>
      <c r="R6">
        <v>2636</v>
      </c>
      <c r="S6">
        <v>1529</v>
      </c>
      <c r="T6">
        <v>1694</v>
      </c>
    </row>
    <row r="7" spans="1:20" x14ac:dyDescent="0.3">
      <c r="A7">
        <v>6</v>
      </c>
      <c r="B7" t="s">
        <v>43</v>
      </c>
      <c r="C7" t="s">
        <v>37</v>
      </c>
      <c r="D7">
        <v>1291</v>
      </c>
      <c r="E7">
        <v>927</v>
      </c>
      <c r="F7">
        <v>1388</v>
      </c>
      <c r="H7" t="s">
        <v>46</v>
      </c>
      <c r="I7" s="1">
        <v>0.39529411764705891</v>
      </c>
      <c r="J7" s="1">
        <v>0.40673684210526317</v>
      </c>
      <c r="K7" s="1">
        <f>IFERROR(SUMIFS(S:S,P:P,"*/06/2026")/(SUMIFS(R:R,P:P,"*/06/2026")+SUMIFS(S:S,P:P,"*/06/2026")+SUMIFS(T:T,P:P,"*/06/2026")),"")</f>
        <v>0.24433168261864049</v>
      </c>
      <c r="L7" s="1">
        <f>IFERROR(SUMIFS(R:R,P:P,"*/06/2026")/(SUMIFS(R:R,P:P,"*/06/2026")+SUMIFS(S:S,P:P,"*/06/2026")+SUMIFS(T:T,P:P,"*/06/2026")),"")</f>
        <v>0.37293198019142371</v>
      </c>
      <c r="M7" s="1">
        <f>IFERROR(SUMIFS(T:T,P:P,"*/06/2026")/(SUMIFS(R:R,P:P,"*/06/2026")+SUMIFS(S:S,P:P,"*/06/2026")+SUMIFS(T:T,P:P,"*/06/2026")),"")</f>
        <v>0.38273633718993583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3600</v>
      </c>
    </row>
    <row r="8" spans="1:20" x14ac:dyDescent="0.3">
      <c r="A8">
        <v>7</v>
      </c>
      <c r="B8" t="s">
        <v>48</v>
      </c>
      <c r="C8" t="s">
        <v>34</v>
      </c>
      <c r="D8">
        <v>1220</v>
      </c>
      <c r="E8">
        <v>843</v>
      </c>
      <c r="F8">
        <v>1542</v>
      </c>
      <c r="H8" t="s">
        <v>49</v>
      </c>
      <c r="I8" s="1">
        <v>0.39529411764705891</v>
      </c>
      <c r="J8" s="1">
        <v>0.40673684210526317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3600</v>
      </c>
    </row>
    <row r="9" spans="1:20" x14ac:dyDescent="0.3">
      <c r="A9">
        <v>8</v>
      </c>
      <c r="B9" t="s">
        <v>48</v>
      </c>
      <c r="C9" t="s">
        <v>37</v>
      </c>
      <c r="D9">
        <v>1324</v>
      </c>
      <c r="E9">
        <v>932</v>
      </c>
      <c r="F9">
        <v>1351</v>
      </c>
      <c r="H9" t="s">
        <v>50</v>
      </c>
      <c r="I9" s="1">
        <v>0.39529411764705891</v>
      </c>
      <c r="J9" s="1">
        <v>0.40673684210526317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1703</v>
      </c>
      <c r="S9">
        <v>908</v>
      </c>
      <c r="T9">
        <v>993</v>
      </c>
    </row>
    <row r="10" spans="1:20" x14ac:dyDescent="0.3">
      <c r="A10">
        <v>9</v>
      </c>
      <c r="B10" t="s">
        <v>52</v>
      </c>
      <c r="C10" t="s">
        <v>34</v>
      </c>
      <c r="D10">
        <v>1253</v>
      </c>
      <c r="E10">
        <v>823</v>
      </c>
      <c r="F10">
        <v>1526</v>
      </c>
      <c r="H10" t="s">
        <v>53</v>
      </c>
      <c r="I10" s="1">
        <v>0.39529411764705891</v>
      </c>
      <c r="J10" s="1">
        <v>0.40673684210526317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2461</v>
      </c>
      <c r="S10">
        <v>622</v>
      </c>
      <c r="T10">
        <v>478</v>
      </c>
    </row>
    <row r="11" spans="1:20" x14ac:dyDescent="0.3">
      <c r="A11">
        <v>10</v>
      </c>
      <c r="B11" t="s">
        <v>52</v>
      </c>
      <c r="C11" t="s">
        <v>37</v>
      </c>
      <c r="D11">
        <v>1571</v>
      </c>
      <c r="E11">
        <v>1169</v>
      </c>
      <c r="F11">
        <v>862</v>
      </c>
      <c r="H11" t="s">
        <v>54</v>
      </c>
      <c r="I11" s="1">
        <v>0.39529411764705891</v>
      </c>
      <c r="J11" s="1">
        <v>0.40673684210526317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1886</v>
      </c>
      <c r="S11">
        <v>1099</v>
      </c>
      <c r="T11">
        <v>618</v>
      </c>
    </row>
    <row r="12" spans="1:20" x14ac:dyDescent="0.3">
      <c r="A12">
        <v>11</v>
      </c>
      <c r="B12" t="s">
        <v>56</v>
      </c>
      <c r="C12" t="s">
        <v>34</v>
      </c>
      <c r="D12">
        <v>1136</v>
      </c>
      <c r="E12">
        <v>829</v>
      </c>
      <c r="F12">
        <v>1635</v>
      </c>
      <c r="H12" t="s">
        <v>57</v>
      </c>
      <c r="I12" s="1">
        <v>0.39529411764705891</v>
      </c>
      <c r="J12" s="1">
        <v>0.40673684210526317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1582</v>
      </c>
      <c r="S12">
        <v>679</v>
      </c>
      <c r="T12">
        <v>1341</v>
      </c>
    </row>
    <row r="13" spans="1:20" x14ac:dyDescent="0.3">
      <c r="A13">
        <v>12</v>
      </c>
      <c r="B13" t="s">
        <v>56</v>
      </c>
      <c r="C13" t="s">
        <v>37</v>
      </c>
      <c r="D13">
        <v>1393</v>
      </c>
      <c r="E13">
        <v>952</v>
      </c>
      <c r="F13">
        <v>1257</v>
      </c>
      <c r="H13" t="s">
        <v>58</v>
      </c>
      <c r="I13" s="1">
        <v>0.39529411764705891</v>
      </c>
      <c r="J13" s="1">
        <v>0.40673684210526317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378</v>
      </c>
      <c r="S13">
        <v>282</v>
      </c>
      <c r="T13">
        <v>2935</v>
      </c>
    </row>
    <row r="14" spans="1:20" x14ac:dyDescent="0.3">
      <c r="A14">
        <v>13</v>
      </c>
      <c r="B14" t="s">
        <v>60</v>
      </c>
      <c r="C14" t="s">
        <v>34</v>
      </c>
      <c r="D14">
        <v>9</v>
      </c>
      <c r="E14">
        <v>1</v>
      </c>
      <c r="F14">
        <v>3589</v>
      </c>
      <c r="H14" t="str">
        <f>IF(B2="","",TEXT(B2,"dd/mm")&amp; "-" &amp;IF(UPPER(TRIM(C2))="CN",1,IF(UPPER(TRIM(C2))="CD",2,"")))</f>
        <v>01/06-1</v>
      </c>
      <c r="I14" s="1">
        <v>0.39529411764705891</v>
      </c>
      <c r="J14" s="1">
        <v>0.40673684210526317</v>
      </c>
      <c r="K14" s="1">
        <f t="shared" ref="K14:K45" si="0">IFERROR($E2/SUM($D2:$F2),"")</f>
        <v>0.24243265759511246</v>
      </c>
      <c r="L14" s="1">
        <f t="shared" ref="L14:L45" si="1">IFERROR($D2/SUM($D2:$F2),"")</f>
        <v>0.53179672313246318</v>
      </c>
      <c r="M14" s="1">
        <f t="shared" ref="M14:M45" si="2">IFERROR($F2/SUM($D2:$F2),"")</f>
        <v>0.22577061927242434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3600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3600</v>
      </c>
      <c r="H15" t="str">
        <f t="shared" ref="H15:H46" si="3">IF(B3="","",TEXT(B3,"dd/mm") &amp; "-" &amp; IF(UPPER(TRIM(C3))="CN",1,IF(UPPER(TRIM(C3))="CD",2,"")))</f>
        <v>01/06-2</v>
      </c>
      <c r="I15" s="1">
        <v>0.39529411764705891</v>
      </c>
      <c r="J15" s="1">
        <v>0.40673684210526317</v>
      </c>
      <c r="K15" s="1">
        <f t="shared" si="0"/>
        <v>0.25957801221543586</v>
      </c>
      <c r="L15" s="1">
        <f t="shared" si="1"/>
        <v>0.41615769017212662</v>
      </c>
      <c r="M15" s="1">
        <f t="shared" si="2"/>
        <v>0.32426429761243752</v>
      </c>
      <c r="O15">
        <v>14</v>
      </c>
      <c r="P15" t="s">
        <v>61</v>
      </c>
      <c r="Q15" t="s">
        <v>34</v>
      </c>
      <c r="R15">
        <v>1640</v>
      </c>
      <c r="S15">
        <v>929</v>
      </c>
      <c r="T15">
        <v>1035</v>
      </c>
    </row>
    <row r="16" spans="1:20" x14ac:dyDescent="0.3">
      <c r="A16">
        <v>15</v>
      </c>
      <c r="B16" t="s">
        <v>62</v>
      </c>
      <c r="C16" t="s">
        <v>34</v>
      </c>
      <c r="D16">
        <v>1223</v>
      </c>
      <c r="E16">
        <v>855</v>
      </c>
      <c r="F16">
        <v>1524</v>
      </c>
      <c r="H16" t="str">
        <f t="shared" si="3"/>
        <v>02/06-1</v>
      </c>
      <c r="I16" s="1">
        <v>0.39529411764705891</v>
      </c>
      <c r="J16" s="1">
        <v>0.40673684210526317</v>
      </c>
      <c r="K16" s="1">
        <f t="shared" si="0"/>
        <v>0.28087704690535664</v>
      </c>
      <c r="L16" s="1">
        <f t="shared" si="1"/>
        <v>0.43880099916736054</v>
      </c>
      <c r="M16" s="1">
        <f t="shared" si="2"/>
        <v>0.28032195392728282</v>
      </c>
      <c r="O16">
        <v>15</v>
      </c>
      <c r="P16" t="s">
        <v>61</v>
      </c>
      <c r="Q16" t="s">
        <v>37</v>
      </c>
      <c r="R16">
        <v>1002</v>
      </c>
      <c r="S16">
        <v>682</v>
      </c>
      <c r="T16">
        <v>1918</v>
      </c>
    </row>
    <row r="17" spans="1:20" x14ac:dyDescent="0.3">
      <c r="A17">
        <v>16</v>
      </c>
      <c r="B17" t="s">
        <v>62</v>
      </c>
      <c r="C17" t="s">
        <v>37</v>
      </c>
      <c r="D17">
        <v>1182</v>
      </c>
      <c r="E17">
        <v>1036</v>
      </c>
      <c r="F17">
        <v>1384</v>
      </c>
      <c r="H17" t="str">
        <f t="shared" si="3"/>
        <v>02/06-2</v>
      </c>
      <c r="I17" s="1">
        <v>0.39529411764705891</v>
      </c>
      <c r="J17" s="1">
        <v>0.40673684210526317</v>
      </c>
      <c r="K17" s="1">
        <f t="shared" si="0"/>
        <v>0.27300443458980045</v>
      </c>
      <c r="L17" s="1">
        <f t="shared" si="1"/>
        <v>0.48503325942350334</v>
      </c>
      <c r="M17" s="1">
        <f t="shared" si="2"/>
        <v>0.24196230598669624</v>
      </c>
      <c r="O17">
        <v>16</v>
      </c>
      <c r="P17" t="s">
        <v>63</v>
      </c>
      <c r="Q17" t="s">
        <v>34</v>
      </c>
      <c r="R17">
        <v>1728</v>
      </c>
      <c r="S17">
        <v>843</v>
      </c>
      <c r="T17">
        <v>1033</v>
      </c>
    </row>
    <row r="18" spans="1:20" x14ac:dyDescent="0.3">
      <c r="A18">
        <v>17</v>
      </c>
      <c r="B18" t="s">
        <v>64</v>
      </c>
      <c r="C18" t="s">
        <v>34</v>
      </c>
      <c r="D18">
        <v>1672</v>
      </c>
      <c r="E18">
        <v>930</v>
      </c>
      <c r="F18">
        <v>1004</v>
      </c>
      <c r="H18" t="str">
        <f t="shared" si="3"/>
        <v>03/06-1</v>
      </c>
      <c r="I18" s="1">
        <v>0.39529411764705891</v>
      </c>
      <c r="J18" s="1">
        <v>0.40673684210526317</v>
      </c>
      <c r="K18" s="1">
        <f t="shared" si="0"/>
        <v>0.25985563575791226</v>
      </c>
      <c r="L18" s="1">
        <f t="shared" si="1"/>
        <v>0.31621321488062187</v>
      </c>
      <c r="M18" s="1">
        <f t="shared" si="2"/>
        <v>0.42393114936146586</v>
      </c>
      <c r="O18">
        <v>17</v>
      </c>
      <c r="P18" t="s">
        <v>63</v>
      </c>
      <c r="Q18" t="s">
        <v>37</v>
      </c>
      <c r="R18">
        <v>1108</v>
      </c>
      <c r="S18">
        <v>720</v>
      </c>
      <c r="T18">
        <v>1774</v>
      </c>
    </row>
    <row r="19" spans="1:20" x14ac:dyDescent="0.3">
      <c r="A19">
        <v>18</v>
      </c>
      <c r="B19" t="s">
        <v>64</v>
      </c>
      <c r="C19" t="s">
        <v>37</v>
      </c>
      <c r="D19">
        <v>1801</v>
      </c>
      <c r="E19">
        <v>963</v>
      </c>
      <c r="F19">
        <v>837</v>
      </c>
      <c r="H19" t="str">
        <f t="shared" si="3"/>
        <v>03/06-2</v>
      </c>
      <c r="I19" s="1">
        <v>0.39529411764705891</v>
      </c>
      <c r="J19" s="1">
        <v>0.40673684210526317</v>
      </c>
      <c r="K19" s="1">
        <f t="shared" si="0"/>
        <v>0.25707154742096505</v>
      </c>
      <c r="L19" s="1">
        <f t="shared" si="1"/>
        <v>0.35801442041042708</v>
      </c>
      <c r="M19" s="1">
        <f t="shared" si="2"/>
        <v>0.38491403216860787</v>
      </c>
      <c r="O19">
        <v>18</v>
      </c>
      <c r="P19" t="s">
        <v>65</v>
      </c>
      <c r="Q19" t="s">
        <v>34</v>
      </c>
      <c r="R19">
        <v>1580</v>
      </c>
      <c r="S19">
        <v>828</v>
      </c>
      <c r="T19">
        <v>1194</v>
      </c>
    </row>
    <row r="20" spans="1:20" x14ac:dyDescent="0.3">
      <c r="A20">
        <v>19</v>
      </c>
      <c r="B20" t="s">
        <v>66</v>
      </c>
      <c r="C20" t="s">
        <v>34</v>
      </c>
      <c r="D20">
        <v>1683</v>
      </c>
      <c r="E20">
        <v>917</v>
      </c>
      <c r="F20">
        <v>1004</v>
      </c>
      <c r="H20" t="str">
        <f t="shared" si="3"/>
        <v>04/06-1</v>
      </c>
      <c r="I20" s="1">
        <v>0.39529411764705891</v>
      </c>
      <c r="J20" s="1">
        <v>0.40673684210526317</v>
      </c>
      <c r="K20" s="1">
        <f t="shared" si="0"/>
        <v>0.23384188626907074</v>
      </c>
      <c r="L20" s="1">
        <f t="shared" si="1"/>
        <v>0.33841886269070737</v>
      </c>
      <c r="M20" s="1">
        <f t="shared" si="2"/>
        <v>0.42773925104022192</v>
      </c>
      <c r="O20">
        <v>19</v>
      </c>
      <c r="P20" t="s">
        <v>65</v>
      </c>
      <c r="Q20" t="s">
        <v>37</v>
      </c>
      <c r="R20">
        <v>14</v>
      </c>
      <c r="S20">
        <v>0</v>
      </c>
      <c r="T20">
        <v>3585</v>
      </c>
    </row>
    <row r="21" spans="1:20" x14ac:dyDescent="0.3">
      <c r="A21">
        <v>20</v>
      </c>
      <c r="B21" t="s">
        <v>66</v>
      </c>
      <c r="C21" t="s">
        <v>37</v>
      </c>
      <c r="D21">
        <v>1821</v>
      </c>
      <c r="E21">
        <v>865</v>
      </c>
      <c r="F21">
        <v>915</v>
      </c>
      <c r="H21" t="str">
        <f t="shared" si="3"/>
        <v>04/06-2</v>
      </c>
      <c r="I21" s="1">
        <v>0.39529411764705891</v>
      </c>
      <c r="J21" s="1">
        <v>0.40673684210526317</v>
      </c>
      <c r="K21" s="1">
        <f t="shared" si="0"/>
        <v>0.25838647075131688</v>
      </c>
      <c r="L21" s="1">
        <f t="shared" si="1"/>
        <v>0.36706404214028276</v>
      </c>
      <c r="M21" s="1">
        <f t="shared" si="2"/>
        <v>0.37454948710840036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3600</v>
      </c>
    </row>
    <row r="22" spans="1:20" x14ac:dyDescent="0.3">
      <c r="A22">
        <v>21</v>
      </c>
      <c r="B22" t="s">
        <v>68</v>
      </c>
      <c r="C22" t="s">
        <v>34</v>
      </c>
      <c r="D22">
        <v>1555</v>
      </c>
      <c r="E22">
        <v>823</v>
      </c>
      <c r="F22">
        <v>1224</v>
      </c>
      <c r="H22" t="str">
        <f t="shared" si="3"/>
        <v>05/06-1</v>
      </c>
      <c r="I22" s="1">
        <v>0.39529411764705891</v>
      </c>
      <c r="J22" s="1">
        <v>0.40673684210526317</v>
      </c>
      <c r="K22" s="1">
        <f t="shared" si="0"/>
        <v>0.22848417545807884</v>
      </c>
      <c r="L22" s="1">
        <f t="shared" si="1"/>
        <v>0.34786229872293173</v>
      </c>
      <c r="M22" s="1">
        <f t="shared" si="2"/>
        <v>0.42365352581898946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3600</v>
      </c>
    </row>
    <row r="23" spans="1:20" x14ac:dyDescent="0.3">
      <c r="A23">
        <v>22</v>
      </c>
      <c r="B23" t="s">
        <v>68</v>
      </c>
      <c r="C23" t="s">
        <v>37</v>
      </c>
      <c r="D23">
        <v>1405</v>
      </c>
      <c r="E23">
        <v>1022</v>
      </c>
      <c r="F23">
        <v>1174</v>
      </c>
      <c r="H23" t="str">
        <f t="shared" si="3"/>
        <v>05/06-2</v>
      </c>
      <c r="I23" s="1">
        <v>0.39529411764705891</v>
      </c>
      <c r="J23" s="1">
        <v>0.40673684210526317</v>
      </c>
      <c r="K23" s="1">
        <f t="shared" si="0"/>
        <v>0.32454192115491393</v>
      </c>
      <c r="L23" s="1">
        <f t="shared" si="1"/>
        <v>0.43614658523042754</v>
      </c>
      <c r="M23" s="1">
        <f t="shared" si="2"/>
        <v>0.23931149361465853</v>
      </c>
      <c r="O23">
        <v>22</v>
      </c>
      <c r="P23" t="s">
        <v>69</v>
      </c>
      <c r="Q23" t="s">
        <v>34</v>
      </c>
      <c r="R23">
        <v>938</v>
      </c>
      <c r="S23">
        <v>591</v>
      </c>
      <c r="T23">
        <v>2072</v>
      </c>
    </row>
    <row r="24" spans="1:20" x14ac:dyDescent="0.3">
      <c r="A24">
        <v>23</v>
      </c>
      <c r="B24" t="s">
        <v>70</v>
      </c>
      <c r="C24" t="s">
        <v>34</v>
      </c>
      <c r="D24">
        <v>1529</v>
      </c>
      <c r="E24">
        <v>1071</v>
      </c>
      <c r="F24">
        <v>1006</v>
      </c>
      <c r="H24" t="str">
        <f t="shared" si="3"/>
        <v>06/06-1</v>
      </c>
      <c r="I24" s="1">
        <v>0.39529411764705891</v>
      </c>
      <c r="J24" s="1">
        <v>0.40673684210526317</v>
      </c>
      <c r="K24" s="1">
        <f t="shared" si="0"/>
        <v>0.23027777777777778</v>
      </c>
      <c r="L24" s="1">
        <f t="shared" si="1"/>
        <v>0.31555555555555553</v>
      </c>
      <c r="M24" s="1">
        <f t="shared" si="2"/>
        <v>0.45416666666666666</v>
      </c>
      <c r="O24">
        <v>23</v>
      </c>
      <c r="P24" t="s">
        <v>69</v>
      </c>
      <c r="Q24" t="s">
        <v>37</v>
      </c>
      <c r="R24">
        <v>1739</v>
      </c>
      <c r="S24">
        <v>1100</v>
      </c>
      <c r="T24">
        <v>768</v>
      </c>
    </row>
    <row r="25" spans="1:20" x14ac:dyDescent="0.3">
      <c r="A25">
        <v>24</v>
      </c>
      <c r="B25" t="s">
        <v>70</v>
      </c>
      <c r="C25" t="s">
        <v>37</v>
      </c>
      <c r="D25">
        <v>1283</v>
      </c>
      <c r="E25">
        <v>1203</v>
      </c>
      <c r="F25">
        <v>1113</v>
      </c>
      <c r="H25" t="str">
        <f t="shared" si="3"/>
        <v>06/06-2</v>
      </c>
      <c r="I25" s="1">
        <v>0.39529411764705891</v>
      </c>
      <c r="J25" s="1">
        <v>0.40673684210526317</v>
      </c>
      <c r="K25" s="1">
        <f t="shared" si="0"/>
        <v>0.26429761243753469</v>
      </c>
      <c r="L25" s="1">
        <f t="shared" si="1"/>
        <v>0.38672959466962797</v>
      </c>
      <c r="M25" s="1">
        <f t="shared" si="2"/>
        <v>0.34897279289283734</v>
      </c>
      <c r="O25">
        <v>24</v>
      </c>
      <c r="P25" t="s">
        <v>71</v>
      </c>
      <c r="Q25" t="s">
        <v>34</v>
      </c>
      <c r="R25">
        <v>856</v>
      </c>
      <c r="S25">
        <v>691</v>
      </c>
      <c r="T25">
        <v>2053</v>
      </c>
    </row>
    <row r="26" spans="1:20" x14ac:dyDescent="0.3">
      <c r="A26">
        <v>25</v>
      </c>
      <c r="B26" t="s">
        <v>72</v>
      </c>
      <c r="C26" t="s">
        <v>34</v>
      </c>
      <c r="D26">
        <v>1352</v>
      </c>
      <c r="E26">
        <v>1103</v>
      </c>
      <c r="F26">
        <v>1144</v>
      </c>
      <c r="H26" t="str">
        <f t="shared" si="3"/>
        <v>07/06-1</v>
      </c>
      <c r="I26" s="1">
        <v>0.39529411764705891</v>
      </c>
      <c r="J26" s="1">
        <v>0.40673684210526317</v>
      </c>
      <c r="K26" s="1">
        <f t="shared" si="0"/>
        <v>2.7785495971103082E-4</v>
      </c>
      <c r="L26" s="1">
        <f t="shared" si="1"/>
        <v>2.5006946373992774E-3</v>
      </c>
      <c r="M26" s="1">
        <f t="shared" si="2"/>
        <v>0.99722145040288968</v>
      </c>
      <c r="O26">
        <v>25</v>
      </c>
      <c r="P26" t="s">
        <v>71</v>
      </c>
      <c r="Q26" t="s">
        <v>37</v>
      </c>
      <c r="R26">
        <v>1709</v>
      </c>
      <c r="S26">
        <v>1113</v>
      </c>
      <c r="T26">
        <v>782</v>
      </c>
    </row>
    <row r="27" spans="1:20" x14ac:dyDescent="0.3">
      <c r="H27" t="str">
        <f t="shared" si="3"/>
        <v>07/06-2</v>
      </c>
      <c r="I27" s="1">
        <v>0.39529411764705891</v>
      </c>
      <c r="J27" s="1">
        <v>0.40673684210526317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940</v>
      </c>
      <c r="S27">
        <v>608</v>
      </c>
      <c r="T27">
        <v>2050</v>
      </c>
    </row>
    <row r="28" spans="1:20" x14ac:dyDescent="0.3">
      <c r="H28" t="str">
        <f t="shared" si="3"/>
        <v>08/06-1</v>
      </c>
      <c r="I28" s="1">
        <v>0.39529411764705891</v>
      </c>
      <c r="J28" s="1">
        <v>0.40673684210526317</v>
      </c>
      <c r="K28" s="1">
        <f t="shared" si="0"/>
        <v>0.23736812881732372</v>
      </c>
      <c r="L28" s="1">
        <f t="shared" si="1"/>
        <v>0.33953359244863962</v>
      </c>
      <c r="M28" s="1">
        <f t="shared" si="2"/>
        <v>0.42309827873403666</v>
      </c>
      <c r="O28">
        <v>27</v>
      </c>
      <c r="P28" t="s">
        <v>73</v>
      </c>
      <c r="Q28" t="s">
        <v>37</v>
      </c>
      <c r="R28">
        <v>1547</v>
      </c>
      <c r="S28">
        <v>1266</v>
      </c>
      <c r="T28">
        <v>789</v>
      </c>
    </row>
    <row r="29" spans="1:20" x14ac:dyDescent="0.3">
      <c r="H29" t="str">
        <f t="shared" si="3"/>
        <v>08/06-2</v>
      </c>
      <c r="I29" s="1">
        <v>0.39529411764705891</v>
      </c>
      <c r="J29" s="1">
        <v>0.40673684210526317</v>
      </c>
      <c r="K29" s="1">
        <f t="shared" si="0"/>
        <v>0.28761799000555249</v>
      </c>
      <c r="L29" s="1">
        <f t="shared" si="1"/>
        <v>0.32815102720710715</v>
      </c>
      <c r="M29" s="1">
        <f t="shared" si="2"/>
        <v>0.38423098278734036</v>
      </c>
      <c r="O29">
        <v>28</v>
      </c>
      <c r="P29" t="s">
        <v>74</v>
      </c>
      <c r="Q29" t="s">
        <v>34</v>
      </c>
      <c r="R29">
        <v>1415</v>
      </c>
      <c r="S29">
        <v>615</v>
      </c>
      <c r="T29">
        <v>1571</v>
      </c>
    </row>
    <row r="30" spans="1:20" x14ac:dyDescent="0.3">
      <c r="H30" t="str">
        <f t="shared" si="3"/>
        <v>09/06-1</v>
      </c>
      <c r="I30" s="1">
        <v>0.39529411764705891</v>
      </c>
      <c r="J30" s="1">
        <v>0.40673684210526317</v>
      </c>
      <c r="K30" s="1">
        <f t="shared" si="0"/>
        <v>0.25790349417637271</v>
      </c>
      <c r="L30" s="1">
        <f t="shared" si="1"/>
        <v>0.46367165834719909</v>
      </c>
      <c r="M30" s="1">
        <f t="shared" si="2"/>
        <v>0.27842484747642815</v>
      </c>
      <c r="O30">
        <v>29</v>
      </c>
      <c r="P30" t="s">
        <v>74</v>
      </c>
      <c r="Q30" t="s">
        <v>37</v>
      </c>
      <c r="R30">
        <v>1755</v>
      </c>
      <c r="S30">
        <v>1053</v>
      </c>
      <c r="T30">
        <v>797</v>
      </c>
    </row>
    <row r="31" spans="1:20" x14ac:dyDescent="0.3">
      <c r="H31" t="str">
        <f t="shared" si="3"/>
        <v>09/06-2</v>
      </c>
      <c r="I31" s="1">
        <v>0.39529411764705891</v>
      </c>
      <c r="J31" s="1">
        <v>0.40673684210526317</v>
      </c>
      <c r="K31" s="1">
        <f t="shared" si="0"/>
        <v>0.2674257150791447</v>
      </c>
      <c r="L31" s="1">
        <f t="shared" si="1"/>
        <v>0.50013885031935579</v>
      </c>
      <c r="M31" s="1">
        <f t="shared" si="2"/>
        <v>0.2324354346014996</v>
      </c>
      <c r="O31">
        <v>30</v>
      </c>
      <c r="P31" t="s">
        <v>75</v>
      </c>
      <c r="Q31" t="s">
        <v>34</v>
      </c>
      <c r="R31">
        <v>1490</v>
      </c>
      <c r="S31">
        <v>568</v>
      </c>
      <c r="T31">
        <v>1542</v>
      </c>
    </row>
    <row r="32" spans="1:20" x14ac:dyDescent="0.3">
      <c r="H32" t="str">
        <f t="shared" si="3"/>
        <v>10/06-1</v>
      </c>
      <c r="I32" s="1">
        <v>0.39529411764705891</v>
      </c>
      <c r="J32" s="1">
        <v>0.40673684210526317</v>
      </c>
      <c r="K32" s="1">
        <f t="shared" si="0"/>
        <v>0.25443951165371809</v>
      </c>
      <c r="L32" s="1">
        <f t="shared" si="1"/>
        <v>0.46698113207547171</v>
      </c>
      <c r="M32" s="1">
        <f t="shared" si="2"/>
        <v>0.27857935627081021</v>
      </c>
      <c r="O32">
        <v>31</v>
      </c>
      <c r="P32" t="s">
        <v>75</v>
      </c>
      <c r="Q32" t="s">
        <v>37</v>
      </c>
      <c r="R32">
        <v>1754</v>
      </c>
      <c r="S32">
        <v>999</v>
      </c>
      <c r="T32">
        <v>851</v>
      </c>
    </row>
    <row r="33" spans="8:20" x14ac:dyDescent="0.3">
      <c r="H33" t="str">
        <f t="shared" si="3"/>
        <v>10/06-2</v>
      </c>
      <c r="I33" s="1">
        <v>0.39529411764705891</v>
      </c>
      <c r="J33" s="1">
        <v>0.40673684210526317</v>
      </c>
      <c r="K33" s="1">
        <f t="shared" si="0"/>
        <v>0.24021105248542071</v>
      </c>
      <c r="L33" s="1">
        <f t="shared" si="1"/>
        <v>0.50569286309358508</v>
      </c>
      <c r="M33" s="1">
        <f t="shared" si="2"/>
        <v>0.25409608442099418</v>
      </c>
      <c r="O33">
        <v>32</v>
      </c>
      <c r="P33" t="s">
        <v>76</v>
      </c>
      <c r="Q33" t="s">
        <v>34</v>
      </c>
      <c r="R33">
        <v>1201</v>
      </c>
      <c r="S33">
        <v>556</v>
      </c>
      <c r="T33">
        <v>1845</v>
      </c>
    </row>
    <row r="34" spans="8:20" x14ac:dyDescent="0.3">
      <c r="H34" t="str">
        <f t="shared" si="3"/>
        <v>11/06-1</v>
      </c>
      <c r="I34" s="1">
        <v>0.39529411764705891</v>
      </c>
      <c r="J34" s="1">
        <v>0.40673684210526317</v>
      </c>
      <c r="K34" s="1">
        <f t="shared" si="0"/>
        <v>0.22848417545807884</v>
      </c>
      <c r="L34" s="1">
        <f t="shared" si="1"/>
        <v>0.43170460855080511</v>
      </c>
      <c r="M34" s="1">
        <f t="shared" si="2"/>
        <v>0.33981121599111602</v>
      </c>
      <c r="O34">
        <v>33</v>
      </c>
      <c r="P34" t="s">
        <v>76</v>
      </c>
      <c r="Q34" t="s">
        <v>37</v>
      </c>
      <c r="R34">
        <v>1116</v>
      </c>
      <c r="S34">
        <v>780</v>
      </c>
      <c r="T34">
        <v>1709</v>
      </c>
    </row>
    <row r="35" spans="8:20" x14ac:dyDescent="0.3">
      <c r="H35" t="str">
        <f t="shared" si="3"/>
        <v>11/06-2</v>
      </c>
      <c r="I35" s="1">
        <v>0.39529411764705891</v>
      </c>
      <c r="J35" s="1">
        <v>0.40673684210526317</v>
      </c>
      <c r="K35" s="1">
        <f t="shared" si="0"/>
        <v>0.28381005276312138</v>
      </c>
      <c r="L35" s="1">
        <f t="shared" si="1"/>
        <v>0.39016939738961398</v>
      </c>
      <c r="M35" s="1">
        <f t="shared" si="2"/>
        <v>0.32602054984726464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3600</v>
      </c>
    </row>
    <row r="36" spans="8:20" x14ac:dyDescent="0.3">
      <c r="H36" t="str">
        <f t="shared" si="3"/>
        <v>12/06-1</v>
      </c>
      <c r="I36" s="1">
        <v>0.39529411764705891</v>
      </c>
      <c r="J36" s="1">
        <v>0.40673684210526317</v>
      </c>
      <c r="K36" s="1">
        <f t="shared" si="0"/>
        <v>0.29700499168053246</v>
      </c>
      <c r="L36" s="1">
        <f t="shared" si="1"/>
        <v>0.42401552967276762</v>
      </c>
      <c r="M36" s="1">
        <f t="shared" si="2"/>
        <v>0.27897947864669992</v>
      </c>
      <c r="O36">
        <v>35</v>
      </c>
      <c r="P36" t="s">
        <v>77</v>
      </c>
      <c r="Q36" t="s">
        <v>37</v>
      </c>
      <c r="R36">
        <v>0</v>
      </c>
      <c r="S36">
        <v>0</v>
      </c>
      <c r="T36">
        <v>3600</v>
      </c>
    </row>
    <row r="37" spans="8:20" x14ac:dyDescent="0.3">
      <c r="H37" t="str">
        <f t="shared" si="3"/>
        <v>12/06-2</v>
      </c>
      <c r="I37" s="1">
        <v>0.39529411764705891</v>
      </c>
      <c r="J37" s="1">
        <v>0.40673684210526317</v>
      </c>
      <c r="K37" s="1">
        <f t="shared" si="0"/>
        <v>0.33425951653237013</v>
      </c>
      <c r="L37" s="1">
        <f t="shared" si="1"/>
        <v>0.35648791330925256</v>
      </c>
      <c r="M37" s="1">
        <f t="shared" si="2"/>
        <v>0.30925257015837732</v>
      </c>
      <c r="O37">
        <v>36</v>
      </c>
      <c r="P37" t="s">
        <v>78</v>
      </c>
      <c r="Q37" t="s">
        <v>34</v>
      </c>
      <c r="R37">
        <v>1791</v>
      </c>
      <c r="S37">
        <v>774</v>
      </c>
      <c r="T37">
        <v>1038</v>
      </c>
    </row>
    <row r="38" spans="8:20" x14ac:dyDescent="0.3">
      <c r="H38" t="str">
        <f t="shared" si="3"/>
        <v>13/06-1</v>
      </c>
      <c r="I38" s="1">
        <v>0.39529411764705891</v>
      </c>
      <c r="J38" s="1">
        <v>0.40673684210526317</v>
      </c>
      <c r="K38" s="1">
        <f t="shared" si="0"/>
        <v>0.30647402056126699</v>
      </c>
      <c r="L38" s="1">
        <f t="shared" si="1"/>
        <v>0.37565990552931372</v>
      </c>
      <c r="M38" s="1">
        <f t="shared" si="2"/>
        <v>0.31786607390941929</v>
      </c>
      <c r="O38">
        <v>37</v>
      </c>
      <c r="P38" t="s">
        <v>78</v>
      </c>
      <c r="Q38" t="s">
        <v>37</v>
      </c>
      <c r="R38">
        <v>1954</v>
      </c>
      <c r="S38">
        <v>866</v>
      </c>
      <c r="T38">
        <v>783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1364</v>
      </c>
      <c r="S39">
        <v>698</v>
      </c>
      <c r="T39">
        <v>1542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1147</v>
      </c>
      <c r="S40">
        <v>849</v>
      </c>
      <c r="T40">
        <v>1604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1390</v>
      </c>
      <c r="S41">
        <v>786</v>
      </c>
      <c r="T41">
        <v>1425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1466</v>
      </c>
      <c r="S42">
        <v>1069</v>
      </c>
      <c r="T42">
        <v>1065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1220</v>
      </c>
      <c r="S43">
        <v>963</v>
      </c>
      <c r="T43">
        <v>1421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1784</v>
      </c>
      <c r="S44">
        <v>1010</v>
      </c>
      <c r="T44">
        <v>806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1169</v>
      </c>
      <c r="S45">
        <v>892</v>
      </c>
      <c r="T45">
        <v>1543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1336</v>
      </c>
      <c r="S46">
        <v>907</v>
      </c>
      <c r="T46">
        <v>1361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1269</v>
      </c>
      <c r="S47">
        <v>1161</v>
      </c>
      <c r="T47">
        <v>1170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1021</v>
      </c>
      <c r="S48">
        <v>847</v>
      </c>
      <c r="T48">
        <v>1730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469</v>
      </c>
      <c r="S49">
        <v>493</v>
      </c>
      <c r="T49">
        <v>2640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3600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1357</v>
      </c>
      <c r="S51">
        <v>1208</v>
      </c>
      <c r="T51">
        <v>1034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1808</v>
      </c>
      <c r="S52">
        <v>1031</v>
      </c>
      <c r="T52">
        <v>762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1358</v>
      </c>
      <c r="S53">
        <v>1211</v>
      </c>
      <c r="T53">
        <v>1031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1219</v>
      </c>
      <c r="S54">
        <v>1156</v>
      </c>
      <c r="T54">
        <v>1229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1103</v>
      </c>
      <c r="S55">
        <v>951</v>
      </c>
      <c r="T55">
        <v>1549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1245</v>
      </c>
      <c r="S56">
        <v>1027</v>
      </c>
      <c r="T56">
        <v>1334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1325</v>
      </c>
      <c r="S57">
        <v>789</v>
      </c>
      <c r="T57">
        <v>1483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1791</v>
      </c>
      <c r="S58">
        <v>1037</v>
      </c>
      <c r="T58">
        <v>776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1328</v>
      </c>
      <c r="S59">
        <v>729</v>
      </c>
      <c r="T59">
        <v>1544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1238</v>
      </c>
      <c r="S60">
        <v>1125</v>
      </c>
      <c r="T60">
        <v>1238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1360</v>
      </c>
      <c r="S61">
        <v>1051</v>
      </c>
      <c r="T61">
        <v>1190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875</v>
      </c>
      <c r="S62">
        <v>1026</v>
      </c>
      <c r="T62">
        <v>1700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3600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3600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1589</v>
      </c>
      <c r="S65">
        <v>987</v>
      </c>
      <c r="T65">
        <v>1026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1445</v>
      </c>
      <c r="S66">
        <v>1298</v>
      </c>
      <c r="T66">
        <v>857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1490</v>
      </c>
      <c r="S67">
        <v>890</v>
      </c>
      <c r="T67">
        <v>1223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1858</v>
      </c>
      <c r="S68">
        <v>953</v>
      </c>
      <c r="T68">
        <v>793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1154</v>
      </c>
      <c r="S69">
        <v>928</v>
      </c>
      <c r="T69">
        <v>1520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1648</v>
      </c>
      <c r="S70">
        <v>1124</v>
      </c>
      <c r="T70">
        <v>832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1136</v>
      </c>
      <c r="S71">
        <v>962</v>
      </c>
      <c r="T71">
        <v>1504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1606</v>
      </c>
      <c r="S72">
        <v>1130</v>
      </c>
      <c r="T72">
        <v>863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1137</v>
      </c>
      <c r="S73">
        <v>940</v>
      </c>
      <c r="T73">
        <v>1526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1486</v>
      </c>
      <c r="S74">
        <v>1238</v>
      </c>
      <c r="T74">
        <v>875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1253</v>
      </c>
      <c r="S75">
        <v>1181</v>
      </c>
      <c r="T75">
        <v>1167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1342</v>
      </c>
      <c r="S76">
        <v>995</v>
      </c>
      <c r="T76">
        <v>1265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3600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3600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1453</v>
      </c>
      <c r="S79">
        <v>1099</v>
      </c>
      <c r="T79">
        <v>1050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1567</v>
      </c>
      <c r="S80">
        <v>1235</v>
      </c>
      <c r="T80">
        <v>802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1662</v>
      </c>
      <c r="S81">
        <v>905</v>
      </c>
      <c r="T81">
        <v>1034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1339</v>
      </c>
      <c r="S82">
        <v>1092</v>
      </c>
      <c r="T82">
        <v>1171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1610</v>
      </c>
      <c r="S83">
        <v>967</v>
      </c>
      <c r="T83">
        <v>1023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1403</v>
      </c>
      <c r="S84">
        <v>1057</v>
      </c>
      <c r="T84">
        <v>1141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1241</v>
      </c>
      <c r="S85">
        <v>820</v>
      </c>
      <c r="T85">
        <v>1541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1311</v>
      </c>
      <c r="S86">
        <v>956</v>
      </c>
      <c r="T86">
        <v>1336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1387</v>
      </c>
      <c r="S87">
        <v>1085</v>
      </c>
      <c r="T87">
        <v>1129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1019</v>
      </c>
      <c r="S88">
        <v>568</v>
      </c>
      <c r="T88">
        <v>2012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3600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3600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3600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3600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3600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3600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3600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3600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3600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3600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3600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3600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3600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3600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3600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3600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3600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3600</v>
      </c>
    </row>
    <row r="107" spans="9:20" x14ac:dyDescent="0.3">
      <c r="O107">
        <v>106</v>
      </c>
      <c r="P107" t="s">
        <v>113</v>
      </c>
      <c r="Q107" t="s">
        <v>34</v>
      </c>
      <c r="R107">
        <v>956</v>
      </c>
      <c r="S107">
        <v>1103</v>
      </c>
      <c r="T107">
        <v>1540</v>
      </c>
    </row>
    <row r="108" spans="9:20" x14ac:dyDescent="0.3">
      <c r="O108">
        <v>107</v>
      </c>
      <c r="P108" t="s">
        <v>113</v>
      </c>
      <c r="Q108" t="s">
        <v>37</v>
      </c>
      <c r="R108">
        <v>1208</v>
      </c>
      <c r="S108">
        <v>943</v>
      </c>
      <c r="T108">
        <v>1452</v>
      </c>
    </row>
    <row r="109" spans="9:20" x14ac:dyDescent="0.3">
      <c r="O109">
        <v>108</v>
      </c>
      <c r="P109" t="s">
        <v>114</v>
      </c>
      <c r="Q109" t="s">
        <v>34</v>
      </c>
      <c r="R109">
        <v>1561</v>
      </c>
      <c r="S109">
        <v>1009</v>
      </c>
      <c r="T109">
        <v>1031</v>
      </c>
    </row>
    <row r="110" spans="9:20" x14ac:dyDescent="0.3">
      <c r="O110">
        <v>109</v>
      </c>
      <c r="P110" t="s">
        <v>114</v>
      </c>
      <c r="Q110" t="s">
        <v>37</v>
      </c>
      <c r="R110">
        <v>1322</v>
      </c>
      <c r="S110">
        <v>879</v>
      </c>
      <c r="T110">
        <v>1401</v>
      </c>
    </row>
    <row r="111" spans="9:20" x14ac:dyDescent="0.3">
      <c r="O111">
        <v>110</v>
      </c>
      <c r="P111" t="s">
        <v>115</v>
      </c>
      <c r="Q111" t="s">
        <v>34</v>
      </c>
      <c r="R111">
        <v>1256</v>
      </c>
      <c r="S111">
        <v>1309</v>
      </c>
      <c r="T111">
        <v>1037</v>
      </c>
    </row>
    <row r="112" spans="9:20" x14ac:dyDescent="0.3">
      <c r="O112">
        <v>111</v>
      </c>
      <c r="P112" t="s">
        <v>116</v>
      </c>
      <c r="Q112" t="s">
        <v>34</v>
      </c>
      <c r="R112">
        <v>2538</v>
      </c>
      <c r="S112">
        <v>2277</v>
      </c>
      <c r="T112">
        <v>2384</v>
      </c>
    </row>
    <row r="113" spans="15:20" x14ac:dyDescent="0.3">
      <c r="O113">
        <v>112</v>
      </c>
      <c r="P113" t="s">
        <v>116</v>
      </c>
      <c r="Q113" t="s">
        <v>37</v>
      </c>
      <c r="R113">
        <v>1172</v>
      </c>
      <c r="S113">
        <v>1083</v>
      </c>
      <c r="T113">
        <v>1348</v>
      </c>
    </row>
    <row r="114" spans="15:20" x14ac:dyDescent="0.3">
      <c r="O114">
        <v>113</v>
      </c>
      <c r="P114" t="s">
        <v>117</v>
      </c>
      <c r="Q114" t="s">
        <v>34</v>
      </c>
      <c r="R114">
        <v>1396</v>
      </c>
      <c r="S114">
        <v>1161</v>
      </c>
      <c r="T114">
        <v>1046</v>
      </c>
    </row>
    <row r="115" spans="15:20" x14ac:dyDescent="0.3">
      <c r="O115">
        <v>114</v>
      </c>
      <c r="P115" t="s">
        <v>117</v>
      </c>
      <c r="Q115" t="s">
        <v>37</v>
      </c>
      <c r="R115">
        <v>1072</v>
      </c>
      <c r="S115">
        <v>965</v>
      </c>
      <c r="T115">
        <v>1563</v>
      </c>
    </row>
    <row r="116" spans="15:20" x14ac:dyDescent="0.3">
      <c r="O116">
        <v>115</v>
      </c>
      <c r="P116" t="s">
        <v>118</v>
      </c>
      <c r="Q116" t="s">
        <v>34</v>
      </c>
      <c r="R116">
        <v>1238</v>
      </c>
      <c r="S116">
        <v>709</v>
      </c>
      <c r="T116">
        <v>1657</v>
      </c>
    </row>
    <row r="117" spans="15:20" x14ac:dyDescent="0.3">
      <c r="O117">
        <v>116</v>
      </c>
      <c r="P117" t="s">
        <v>118</v>
      </c>
      <c r="Q117" t="s">
        <v>37</v>
      </c>
      <c r="R117">
        <v>1284</v>
      </c>
      <c r="S117">
        <v>616</v>
      </c>
      <c r="T117">
        <v>1702</v>
      </c>
    </row>
    <row r="118" spans="15:20" x14ac:dyDescent="0.3">
      <c r="O118">
        <v>117</v>
      </c>
      <c r="P118" t="s">
        <v>119</v>
      </c>
      <c r="Q118" t="s">
        <v>34</v>
      </c>
      <c r="R118">
        <v>0</v>
      </c>
      <c r="S118">
        <v>0</v>
      </c>
      <c r="T118">
        <v>3275</v>
      </c>
    </row>
    <row r="119" spans="15:20" x14ac:dyDescent="0.3">
      <c r="O119">
        <v>118</v>
      </c>
      <c r="P119" t="s">
        <v>119</v>
      </c>
      <c r="Q119" t="s">
        <v>37</v>
      </c>
      <c r="R119">
        <v>0</v>
      </c>
      <c r="S119">
        <v>0</v>
      </c>
      <c r="T119">
        <v>3600</v>
      </c>
    </row>
    <row r="120" spans="15:20" x14ac:dyDescent="0.3">
      <c r="O120">
        <v>119</v>
      </c>
      <c r="P120" t="s">
        <v>120</v>
      </c>
      <c r="Q120" t="s">
        <v>34</v>
      </c>
      <c r="R120">
        <v>1176</v>
      </c>
      <c r="S120">
        <v>893</v>
      </c>
      <c r="T120">
        <v>1535</v>
      </c>
    </row>
    <row r="121" spans="15:20" x14ac:dyDescent="0.3">
      <c r="O121">
        <v>120</v>
      </c>
      <c r="P121" t="s">
        <v>120</v>
      </c>
      <c r="Q121" t="s">
        <v>37</v>
      </c>
      <c r="R121">
        <v>1467</v>
      </c>
      <c r="S121">
        <v>1347</v>
      </c>
      <c r="T121">
        <v>786</v>
      </c>
    </row>
    <row r="122" spans="15:20" x14ac:dyDescent="0.3">
      <c r="O122">
        <v>121</v>
      </c>
      <c r="P122" t="s">
        <v>121</v>
      </c>
      <c r="Q122" t="s">
        <v>34</v>
      </c>
      <c r="R122">
        <v>1190</v>
      </c>
      <c r="S122">
        <v>887</v>
      </c>
      <c r="T122">
        <v>1528</v>
      </c>
    </row>
    <row r="123" spans="15:20" x14ac:dyDescent="0.3">
      <c r="O123">
        <v>122</v>
      </c>
      <c r="P123" t="s">
        <v>121</v>
      </c>
      <c r="Q123" t="s">
        <v>37</v>
      </c>
      <c r="R123">
        <v>1529</v>
      </c>
      <c r="S123">
        <v>886</v>
      </c>
      <c r="T123">
        <v>1183</v>
      </c>
    </row>
    <row r="124" spans="15:20" x14ac:dyDescent="0.3">
      <c r="O124">
        <v>123</v>
      </c>
      <c r="P124" t="s">
        <v>122</v>
      </c>
      <c r="Q124" t="s">
        <v>34</v>
      </c>
      <c r="R124">
        <v>1291</v>
      </c>
      <c r="S124">
        <v>797</v>
      </c>
      <c r="T124">
        <v>1517</v>
      </c>
    </row>
    <row r="125" spans="15:20" x14ac:dyDescent="0.3">
      <c r="O125">
        <v>124</v>
      </c>
      <c r="P125" t="s">
        <v>122</v>
      </c>
      <c r="Q125" t="s">
        <v>37</v>
      </c>
      <c r="R125">
        <v>1083</v>
      </c>
      <c r="S125">
        <v>1151</v>
      </c>
      <c r="T125">
        <v>1372</v>
      </c>
    </row>
    <row r="126" spans="15:20" x14ac:dyDescent="0.3">
      <c r="O126">
        <v>125</v>
      </c>
      <c r="P126" t="s">
        <v>123</v>
      </c>
      <c r="Q126" t="s">
        <v>34</v>
      </c>
      <c r="R126">
        <v>1333</v>
      </c>
      <c r="S126">
        <v>756</v>
      </c>
      <c r="T126">
        <v>1516</v>
      </c>
    </row>
    <row r="127" spans="15:20" x14ac:dyDescent="0.3">
      <c r="O127">
        <v>126</v>
      </c>
      <c r="P127" t="s">
        <v>123</v>
      </c>
      <c r="Q127" t="s">
        <v>37</v>
      </c>
      <c r="R127">
        <v>1396</v>
      </c>
      <c r="S127">
        <v>1344</v>
      </c>
      <c r="T127">
        <v>862</v>
      </c>
    </row>
    <row r="128" spans="15:20" x14ac:dyDescent="0.3">
      <c r="O128">
        <v>127</v>
      </c>
      <c r="P128" t="s">
        <v>124</v>
      </c>
      <c r="Q128" t="s">
        <v>34</v>
      </c>
      <c r="R128">
        <v>1196</v>
      </c>
      <c r="S128">
        <v>893</v>
      </c>
      <c r="T128">
        <v>1515</v>
      </c>
    </row>
    <row r="129" spans="15:20" x14ac:dyDescent="0.3">
      <c r="O129">
        <v>128</v>
      </c>
      <c r="P129" t="s">
        <v>124</v>
      </c>
      <c r="Q129" t="s">
        <v>37</v>
      </c>
      <c r="R129">
        <v>1472</v>
      </c>
      <c r="S129">
        <v>1186</v>
      </c>
      <c r="T129">
        <v>944</v>
      </c>
    </row>
    <row r="130" spans="15:20" x14ac:dyDescent="0.3">
      <c r="O130">
        <v>129</v>
      </c>
      <c r="P130" t="s">
        <v>125</v>
      </c>
      <c r="Q130" t="s">
        <v>34</v>
      </c>
      <c r="R130">
        <v>1318</v>
      </c>
      <c r="S130">
        <v>1105</v>
      </c>
      <c r="T130">
        <v>1180</v>
      </c>
    </row>
    <row r="131" spans="15:20" x14ac:dyDescent="0.3">
      <c r="O131">
        <v>130</v>
      </c>
      <c r="P131" t="s">
        <v>125</v>
      </c>
      <c r="Q131" t="s">
        <v>37</v>
      </c>
      <c r="R131">
        <v>1313</v>
      </c>
      <c r="S131">
        <v>1028</v>
      </c>
      <c r="T131">
        <v>1259</v>
      </c>
    </row>
    <row r="132" spans="15:20" x14ac:dyDescent="0.3">
      <c r="O132">
        <v>131</v>
      </c>
      <c r="P132" t="s">
        <v>126</v>
      </c>
      <c r="Q132" t="s">
        <v>34</v>
      </c>
      <c r="R132">
        <v>0</v>
      </c>
      <c r="S132">
        <v>0</v>
      </c>
      <c r="T132">
        <v>3600</v>
      </c>
    </row>
    <row r="133" spans="15:20" x14ac:dyDescent="0.3">
      <c r="O133">
        <v>132</v>
      </c>
      <c r="P133" t="s">
        <v>126</v>
      </c>
      <c r="Q133" t="s">
        <v>37</v>
      </c>
      <c r="R133">
        <v>0</v>
      </c>
      <c r="S133">
        <v>0</v>
      </c>
      <c r="T133">
        <v>3600</v>
      </c>
    </row>
    <row r="134" spans="15:20" x14ac:dyDescent="0.3">
      <c r="O134">
        <v>133</v>
      </c>
      <c r="P134" t="s">
        <v>127</v>
      </c>
      <c r="Q134" t="s">
        <v>34</v>
      </c>
      <c r="R134">
        <v>1527</v>
      </c>
      <c r="S134">
        <v>1048</v>
      </c>
      <c r="T134">
        <v>1029</v>
      </c>
    </row>
    <row r="135" spans="15:20" x14ac:dyDescent="0.3">
      <c r="O135">
        <v>134</v>
      </c>
      <c r="P135" t="s">
        <v>127</v>
      </c>
      <c r="Q135" t="s">
        <v>37</v>
      </c>
      <c r="R135">
        <v>1564</v>
      </c>
      <c r="S135">
        <v>884</v>
      </c>
      <c r="T135">
        <v>1156</v>
      </c>
    </row>
    <row r="136" spans="15:20" x14ac:dyDescent="0.3">
      <c r="O136">
        <v>135</v>
      </c>
      <c r="P136" t="s">
        <v>128</v>
      </c>
      <c r="Q136" t="s">
        <v>34</v>
      </c>
      <c r="R136">
        <v>1443</v>
      </c>
      <c r="S136">
        <v>1128</v>
      </c>
      <c r="T136">
        <v>1029</v>
      </c>
    </row>
    <row r="137" spans="15:20" x14ac:dyDescent="0.3">
      <c r="O137">
        <v>136</v>
      </c>
      <c r="P137" t="s">
        <v>128</v>
      </c>
      <c r="Q137" t="s">
        <v>37</v>
      </c>
      <c r="R137">
        <v>1290</v>
      </c>
      <c r="S137">
        <v>963</v>
      </c>
      <c r="T137">
        <v>1351</v>
      </c>
    </row>
    <row r="138" spans="15:20" x14ac:dyDescent="0.3">
      <c r="O138">
        <v>137</v>
      </c>
      <c r="P138" t="s">
        <v>129</v>
      </c>
      <c r="Q138" t="s">
        <v>34</v>
      </c>
      <c r="R138">
        <v>1410</v>
      </c>
      <c r="S138">
        <v>1165</v>
      </c>
      <c r="T138">
        <v>1028</v>
      </c>
    </row>
    <row r="139" spans="15:20" x14ac:dyDescent="0.3">
      <c r="O139">
        <v>138</v>
      </c>
      <c r="P139" t="s">
        <v>129</v>
      </c>
      <c r="Q139" t="s">
        <v>37</v>
      </c>
      <c r="R139">
        <v>1404</v>
      </c>
      <c r="S139">
        <v>855</v>
      </c>
      <c r="T139">
        <v>1345</v>
      </c>
    </row>
    <row r="140" spans="15:20" x14ac:dyDescent="0.3">
      <c r="O140">
        <v>139</v>
      </c>
      <c r="P140" t="s">
        <v>130</v>
      </c>
      <c r="Q140" t="s">
        <v>34</v>
      </c>
      <c r="R140">
        <v>1390</v>
      </c>
      <c r="S140">
        <v>1185</v>
      </c>
      <c r="T140">
        <v>1029</v>
      </c>
    </row>
    <row r="141" spans="15:20" x14ac:dyDescent="0.3">
      <c r="O141">
        <v>140</v>
      </c>
      <c r="P141" t="s">
        <v>130</v>
      </c>
      <c r="Q141" t="s">
        <v>37</v>
      </c>
      <c r="R141">
        <v>1270</v>
      </c>
      <c r="S141">
        <v>988</v>
      </c>
      <c r="T141">
        <v>1349</v>
      </c>
    </row>
    <row r="142" spans="15:20" x14ac:dyDescent="0.3">
      <c r="O142">
        <v>141</v>
      </c>
      <c r="P142" t="s">
        <v>131</v>
      </c>
      <c r="Q142" t="s">
        <v>34</v>
      </c>
      <c r="R142">
        <v>1470</v>
      </c>
      <c r="S142">
        <v>1115</v>
      </c>
      <c r="T142">
        <v>1021</v>
      </c>
    </row>
    <row r="143" spans="15:20" x14ac:dyDescent="0.3">
      <c r="O143">
        <v>142</v>
      </c>
      <c r="P143" t="s">
        <v>131</v>
      </c>
      <c r="Q143" t="s">
        <v>37</v>
      </c>
      <c r="R143">
        <v>1127</v>
      </c>
      <c r="S143">
        <v>1062</v>
      </c>
      <c r="T143">
        <v>1411</v>
      </c>
    </row>
    <row r="144" spans="15:20" x14ac:dyDescent="0.3">
      <c r="O144">
        <v>143</v>
      </c>
      <c r="P144" t="s">
        <v>132</v>
      </c>
      <c r="Q144" t="s">
        <v>34</v>
      </c>
      <c r="R144">
        <v>1035</v>
      </c>
      <c r="S144">
        <v>917</v>
      </c>
      <c r="T144">
        <v>1650</v>
      </c>
    </row>
    <row r="145" spans="15:20" x14ac:dyDescent="0.3">
      <c r="O145">
        <v>144</v>
      </c>
      <c r="P145" t="s">
        <v>132</v>
      </c>
      <c r="Q145" t="s">
        <v>37</v>
      </c>
      <c r="R145">
        <v>1377</v>
      </c>
      <c r="S145">
        <v>993</v>
      </c>
      <c r="T145">
        <v>1231</v>
      </c>
    </row>
    <row r="146" spans="15:20" x14ac:dyDescent="0.3">
      <c r="O146">
        <v>145</v>
      </c>
      <c r="P146" t="s">
        <v>133</v>
      </c>
      <c r="Q146" t="s">
        <v>34</v>
      </c>
      <c r="R146">
        <v>0</v>
      </c>
      <c r="S146">
        <v>0</v>
      </c>
      <c r="T146">
        <v>3600</v>
      </c>
    </row>
    <row r="147" spans="15:20" x14ac:dyDescent="0.3">
      <c r="O147">
        <v>146</v>
      </c>
      <c r="P147" t="s">
        <v>133</v>
      </c>
      <c r="Q147" t="s">
        <v>37</v>
      </c>
      <c r="R147">
        <v>0</v>
      </c>
      <c r="S147">
        <v>0</v>
      </c>
      <c r="T147">
        <v>3600</v>
      </c>
    </row>
    <row r="148" spans="15:20" x14ac:dyDescent="0.3">
      <c r="O148">
        <v>147</v>
      </c>
      <c r="P148" t="s">
        <v>134</v>
      </c>
      <c r="Q148" t="s">
        <v>34</v>
      </c>
      <c r="R148">
        <v>1264</v>
      </c>
      <c r="S148">
        <v>803</v>
      </c>
      <c r="T148">
        <v>1537</v>
      </c>
    </row>
    <row r="149" spans="15:20" x14ac:dyDescent="0.3">
      <c r="O149">
        <v>148</v>
      </c>
      <c r="P149" t="s">
        <v>134</v>
      </c>
      <c r="Q149" t="s">
        <v>37</v>
      </c>
      <c r="R149">
        <v>1248</v>
      </c>
      <c r="S149">
        <v>972</v>
      </c>
      <c r="T149">
        <v>1382</v>
      </c>
    </row>
    <row r="150" spans="15:20" x14ac:dyDescent="0.3">
      <c r="O150">
        <v>149</v>
      </c>
      <c r="P150" t="s">
        <v>135</v>
      </c>
      <c r="Q150" t="s">
        <v>34</v>
      </c>
      <c r="R150">
        <v>1270</v>
      </c>
      <c r="S150">
        <v>816</v>
      </c>
      <c r="T150">
        <v>1520</v>
      </c>
    </row>
    <row r="151" spans="15:20" x14ac:dyDescent="0.3">
      <c r="O151">
        <v>150</v>
      </c>
      <c r="P151" t="s">
        <v>135</v>
      </c>
      <c r="Q151" t="s">
        <v>37</v>
      </c>
      <c r="R151">
        <v>1396</v>
      </c>
      <c r="S151">
        <v>1135</v>
      </c>
      <c r="T151">
        <v>1073</v>
      </c>
    </row>
    <row r="152" spans="15:20" x14ac:dyDescent="0.3">
      <c r="O152">
        <v>151</v>
      </c>
      <c r="P152" t="s">
        <v>136</v>
      </c>
      <c r="Q152" t="s">
        <v>34</v>
      </c>
      <c r="R152">
        <v>1515</v>
      </c>
      <c r="S152">
        <v>829</v>
      </c>
      <c r="T152">
        <v>1258</v>
      </c>
    </row>
    <row r="153" spans="15:20" x14ac:dyDescent="0.3">
      <c r="O153">
        <v>152</v>
      </c>
      <c r="P153" t="s">
        <v>136</v>
      </c>
      <c r="Q153" t="s">
        <v>37</v>
      </c>
      <c r="R153">
        <v>1921</v>
      </c>
      <c r="S153">
        <v>866</v>
      </c>
      <c r="T153">
        <v>817</v>
      </c>
    </row>
    <row r="154" spans="15:20" x14ac:dyDescent="0.3">
      <c r="O154">
        <v>153</v>
      </c>
      <c r="P154" t="s">
        <v>137</v>
      </c>
      <c r="Q154" t="s">
        <v>34</v>
      </c>
      <c r="R154">
        <v>1235</v>
      </c>
      <c r="S154">
        <v>833</v>
      </c>
      <c r="T154">
        <v>1538</v>
      </c>
    </row>
    <row r="155" spans="15:20" x14ac:dyDescent="0.3">
      <c r="O155">
        <v>154</v>
      </c>
      <c r="P155" t="s">
        <v>137</v>
      </c>
      <c r="Q155" t="s">
        <v>37</v>
      </c>
      <c r="R155">
        <v>1042</v>
      </c>
      <c r="S155">
        <v>1172</v>
      </c>
      <c r="T155">
        <v>1387</v>
      </c>
    </row>
    <row r="156" spans="15:20" x14ac:dyDescent="0.3">
      <c r="O156">
        <v>155</v>
      </c>
      <c r="P156" t="s">
        <v>138</v>
      </c>
      <c r="Q156" t="s">
        <v>34</v>
      </c>
      <c r="R156">
        <v>1289</v>
      </c>
      <c r="S156">
        <v>790</v>
      </c>
      <c r="T156">
        <v>1525</v>
      </c>
    </row>
    <row r="157" spans="15:20" x14ac:dyDescent="0.3">
      <c r="O157">
        <v>156</v>
      </c>
      <c r="P157" t="s">
        <v>138</v>
      </c>
      <c r="Q157" t="s">
        <v>37</v>
      </c>
      <c r="R157">
        <v>1191</v>
      </c>
      <c r="S157">
        <v>1038</v>
      </c>
      <c r="T157">
        <v>1373</v>
      </c>
    </row>
    <row r="158" spans="15:20" x14ac:dyDescent="0.3">
      <c r="O158">
        <v>157</v>
      </c>
      <c r="P158" t="s">
        <v>139</v>
      </c>
      <c r="Q158" t="s">
        <v>34</v>
      </c>
      <c r="R158">
        <v>1123</v>
      </c>
      <c r="S158">
        <v>827</v>
      </c>
      <c r="T158">
        <v>1654</v>
      </c>
    </row>
    <row r="159" spans="15:20" x14ac:dyDescent="0.3">
      <c r="O159">
        <v>158</v>
      </c>
      <c r="P159" t="s">
        <v>139</v>
      </c>
      <c r="Q159" t="s">
        <v>37</v>
      </c>
      <c r="R159">
        <v>1133</v>
      </c>
      <c r="S159">
        <v>734</v>
      </c>
      <c r="T159">
        <v>1733</v>
      </c>
    </row>
    <row r="160" spans="15:20" x14ac:dyDescent="0.3">
      <c r="O160">
        <v>159</v>
      </c>
      <c r="P160" t="s">
        <v>140</v>
      </c>
      <c r="Q160" t="s">
        <v>34</v>
      </c>
      <c r="R160">
        <v>0</v>
      </c>
      <c r="S160">
        <v>0</v>
      </c>
      <c r="T160">
        <v>3600</v>
      </c>
    </row>
    <row r="161" spans="15:20" x14ac:dyDescent="0.3">
      <c r="O161">
        <v>160</v>
      </c>
      <c r="P161" t="s">
        <v>140</v>
      </c>
      <c r="Q161" t="s">
        <v>37</v>
      </c>
      <c r="R161">
        <v>0</v>
      </c>
      <c r="S161">
        <v>0</v>
      </c>
      <c r="T161">
        <v>3600</v>
      </c>
    </row>
    <row r="162" spans="15:20" x14ac:dyDescent="0.3">
      <c r="O162">
        <v>161</v>
      </c>
      <c r="P162" t="s">
        <v>141</v>
      </c>
      <c r="Q162" t="s">
        <v>34</v>
      </c>
      <c r="R162">
        <v>1294</v>
      </c>
      <c r="S162">
        <v>741</v>
      </c>
      <c r="T162">
        <v>1566</v>
      </c>
    </row>
    <row r="163" spans="15:20" x14ac:dyDescent="0.3">
      <c r="O163">
        <v>162</v>
      </c>
      <c r="P163" t="s">
        <v>141</v>
      </c>
      <c r="Q163" t="s">
        <v>37</v>
      </c>
      <c r="R163">
        <v>1178</v>
      </c>
      <c r="S163">
        <v>1013</v>
      </c>
      <c r="T163">
        <v>1413</v>
      </c>
    </row>
    <row r="164" spans="15:20" x14ac:dyDescent="0.3">
      <c r="O164">
        <v>163</v>
      </c>
      <c r="P164" t="s">
        <v>142</v>
      </c>
      <c r="Q164" t="s">
        <v>34</v>
      </c>
      <c r="R164">
        <v>1451</v>
      </c>
      <c r="S164">
        <v>1069</v>
      </c>
      <c r="T164">
        <v>1081</v>
      </c>
    </row>
    <row r="165" spans="15:20" x14ac:dyDescent="0.3">
      <c r="O165">
        <v>164</v>
      </c>
      <c r="P165" t="s">
        <v>142</v>
      </c>
      <c r="Q165" t="s">
        <v>37</v>
      </c>
      <c r="R165">
        <v>1207</v>
      </c>
      <c r="S165">
        <v>1052</v>
      </c>
      <c r="T165">
        <v>1345</v>
      </c>
    </row>
    <row r="166" spans="15:20" x14ac:dyDescent="0.3">
      <c r="O166">
        <v>165</v>
      </c>
      <c r="P166" t="s">
        <v>143</v>
      </c>
      <c r="Q166" t="s">
        <v>34</v>
      </c>
      <c r="R166">
        <v>1561</v>
      </c>
      <c r="S166">
        <v>1012</v>
      </c>
      <c r="T166">
        <v>1027</v>
      </c>
    </row>
    <row r="167" spans="15:20" x14ac:dyDescent="0.3">
      <c r="O167">
        <v>166</v>
      </c>
      <c r="P167" t="s">
        <v>143</v>
      </c>
      <c r="Q167" t="s">
        <v>37</v>
      </c>
      <c r="R167">
        <v>1269</v>
      </c>
      <c r="S167">
        <v>983</v>
      </c>
      <c r="T167">
        <v>1352</v>
      </c>
    </row>
    <row r="168" spans="15:20" x14ac:dyDescent="0.3">
      <c r="O168">
        <v>167</v>
      </c>
      <c r="P168" t="s">
        <v>144</v>
      </c>
      <c r="Q168" t="s">
        <v>34</v>
      </c>
      <c r="R168">
        <v>1266</v>
      </c>
      <c r="S168">
        <v>802</v>
      </c>
      <c r="T168">
        <v>1535</v>
      </c>
    </row>
    <row r="169" spans="15:20" x14ac:dyDescent="0.3">
      <c r="O169">
        <v>168</v>
      </c>
      <c r="P169" t="s">
        <v>144</v>
      </c>
      <c r="Q169" t="s">
        <v>37</v>
      </c>
      <c r="R169">
        <v>1294</v>
      </c>
      <c r="S169">
        <v>960</v>
      </c>
      <c r="T169">
        <v>1350</v>
      </c>
    </row>
    <row r="170" spans="15:20" x14ac:dyDescent="0.3">
      <c r="O170">
        <v>169</v>
      </c>
      <c r="P170" t="s">
        <v>145</v>
      </c>
      <c r="Q170" t="s">
        <v>34</v>
      </c>
      <c r="R170">
        <v>1562</v>
      </c>
      <c r="S170">
        <v>999</v>
      </c>
      <c r="T170">
        <v>1041</v>
      </c>
    </row>
    <row r="171" spans="15:20" x14ac:dyDescent="0.3">
      <c r="O171">
        <v>170</v>
      </c>
      <c r="P171" t="s">
        <v>145</v>
      </c>
      <c r="Q171" t="s">
        <v>37</v>
      </c>
      <c r="R171">
        <v>1296</v>
      </c>
      <c r="S171">
        <v>890</v>
      </c>
      <c r="T171">
        <v>1419</v>
      </c>
    </row>
    <row r="172" spans="15:20" x14ac:dyDescent="0.3">
      <c r="O172">
        <v>171</v>
      </c>
      <c r="P172" t="s">
        <v>146</v>
      </c>
      <c r="Q172" t="s">
        <v>34</v>
      </c>
      <c r="R172">
        <v>1322</v>
      </c>
      <c r="S172">
        <v>503</v>
      </c>
      <c r="T172">
        <v>1772</v>
      </c>
    </row>
    <row r="173" spans="15:20" x14ac:dyDescent="0.3">
      <c r="O173">
        <v>172</v>
      </c>
      <c r="P173" t="s">
        <v>146</v>
      </c>
      <c r="Q173" t="s">
        <v>37</v>
      </c>
      <c r="R173">
        <v>0</v>
      </c>
      <c r="S173">
        <v>0</v>
      </c>
      <c r="T173">
        <v>3600</v>
      </c>
    </row>
    <row r="174" spans="15:20" x14ac:dyDescent="0.3">
      <c r="O174">
        <v>173</v>
      </c>
      <c r="P174" t="s">
        <v>147</v>
      </c>
      <c r="Q174" t="s">
        <v>34</v>
      </c>
      <c r="R174">
        <v>0</v>
      </c>
      <c r="S174">
        <v>0</v>
      </c>
      <c r="T174">
        <v>3600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3600</v>
      </c>
    </row>
    <row r="176" spans="15:20" x14ac:dyDescent="0.3">
      <c r="O176">
        <v>175</v>
      </c>
      <c r="P176" t="s">
        <v>148</v>
      </c>
      <c r="Q176" t="s">
        <v>34</v>
      </c>
      <c r="R176">
        <v>1409</v>
      </c>
      <c r="S176">
        <v>833</v>
      </c>
      <c r="T176">
        <v>1360</v>
      </c>
    </row>
    <row r="177" spans="15:20" x14ac:dyDescent="0.3">
      <c r="O177">
        <v>176</v>
      </c>
      <c r="P177" t="s">
        <v>148</v>
      </c>
      <c r="Q177" t="s">
        <v>37</v>
      </c>
      <c r="R177">
        <v>1729</v>
      </c>
      <c r="S177">
        <v>1051</v>
      </c>
      <c r="T177">
        <v>821</v>
      </c>
    </row>
    <row r="178" spans="15:20" x14ac:dyDescent="0.3">
      <c r="O178">
        <v>177</v>
      </c>
      <c r="P178" t="s">
        <v>149</v>
      </c>
      <c r="Q178" t="s">
        <v>34</v>
      </c>
      <c r="R178">
        <v>1348</v>
      </c>
      <c r="S178">
        <v>742</v>
      </c>
      <c r="T178">
        <v>1515</v>
      </c>
    </row>
    <row r="179" spans="15:20" x14ac:dyDescent="0.3">
      <c r="O179">
        <v>178</v>
      </c>
      <c r="P179" t="s">
        <v>149</v>
      </c>
      <c r="Q179" t="s">
        <v>37</v>
      </c>
      <c r="R179">
        <v>1455</v>
      </c>
      <c r="S179">
        <v>1123</v>
      </c>
      <c r="T179">
        <v>1024</v>
      </c>
    </row>
    <row r="180" spans="15:20" x14ac:dyDescent="0.3">
      <c r="O180">
        <v>179</v>
      </c>
      <c r="P180" t="s">
        <v>150</v>
      </c>
      <c r="Q180" t="s">
        <v>34</v>
      </c>
      <c r="R180">
        <v>1189</v>
      </c>
      <c r="S180">
        <v>892</v>
      </c>
      <c r="T180">
        <v>1521</v>
      </c>
    </row>
    <row r="181" spans="15:20" x14ac:dyDescent="0.3">
      <c r="O181">
        <v>180</v>
      </c>
      <c r="P181" t="s">
        <v>150</v>
      </c>
      <c r="Q181" t="s">
        <v>37</v>
      </c>
      <c r="R181">
        <v>1217</v>
      </c>
      <c r="S181">
        <v>1173</v>
      </c>
      <c r="T181">
        <v>1213</v>
      </c>
    </row>
    <row r="182" spans="15:20" x14ac:dyDescent="0.3">
      <c r="O182">
        <v>181</v>
      </c>
      <c r="P182" t="s">
        <v>151</v>
      </c>
      <c r="Q182" t="s">
        <v>34</v>
      </c>
      <c r="R182">
        <v>1425</v>
      </c>
      <c r="S182">
        <v>863</v>
      </c>
      <c r="T182">
        <v>1317</v>
      </c>
    </row>
    <row r="183" spans="15:20" x14ac:dyDescent="0.3">
      <c r="O183">
        <v>182</v>
      </c>
      <c r="P183" t="s">
        <v>151</v>
      </c>
      <c r="Q183" t="s">
        <v>37</v>
      </c>
      <c r="R183">
        <v>1144</v>
      </c>
      <c r="S183">
        <v>1079</v>
      </c>
      <c r="T183">
        <v>1379</v>
      </c>
    </row>
    <row r="184" spans="15:20" x14ac:dyDescent="0.3">
      <c r="O184">
        <v>183</v>
      </c>
      <c r="P184" t="s">
        <v>152</v>
      </c>
      <c r="Q184" t="s">
        <v>34</v>
      </c>
      <c r="R184">
        <v>1086</v>
      </c>
      <c r="S184">
        <v>1002</v>
      </c>
      <c r="T184">
        <v>1515</v>
      </c>
    </row>
    <row r="185" spans="15:20" x14ac:dyDescent="0.3">
      <c r="O185">
        <v>184</v>
      </c>
      <c r="P185" t="s">
        <v>152</v>
      </c>
      <c r="Q185" t="s">
        <v>37</v>
      </c>
      <c r="R185">
        <v>1197</v>
      </c>
      <c r="S185">
        <v>1045</v>
      </c>
      <c r="T185">
        <v>1360</v>
      </c>
    </row>
    <row r="186" spans="15:20" x14ac:dyDescent="0.3">
      <c r="O186">
        <v>185</v>
      </c>
      <c r="P186" t="s">
        <v>153</v>
      </c>
      <c r="Q186" t="s">
        <v>34</v>
      </c>
      <c r="R186">
        <v>839</v>
      </c>
      <c r="S186">
        <v>630</v>
      </c>
      <c r="T186">
        <v>2134</v>
      </c>
    </row>
    <row r="187" spans="15:20" x14ac:dyDescent="0.3">
      <c r="O187">
        <v>186</v>
      </c>
      <c r="P187" t="s">
        <v>153</v>
      </c>
      <c r="Q187" t="s">
        <v>37</v>
      </c>
      <c r="R187">
        <v>968</v>
      </c>
      <c r="S187">
        <v>829</v>
      </c>
      <c r="T187">
        <v>1804</v>
      </c>
    </row>
    <row r="188" spans="15:20" x14ac:dyDescent="0.3">
      <c r="O188">
        <v>187</v>
      </c>
      <c r="P188" t="s">
        <v>154</v>
      </c>
      <c r="Q188" t="s">
        <v>34</v>
      </c>
      <c r="R188">
        <v>0</v>
      </c>
      <c r="S188">
        <v>0</v>
      </c>
      <c r="T188">
        <v>3600</v>
      </c>
    </row>
    <row r="189" spans="15:20" x14ac:dyDescent="0.3">
      <c r="O189">
        <v>188</v>
      </c>
      <c r="P189" t="s">
        <v>154</v>
      </c>
      <c r="Q189" t="s">
        <v>37</v>
      </c>
      <c r="R189">
        <v>0</v>
      </c>
      <c r="S189">
        <v>0</v>
      </c>
      <c r="T189">
        <v>3600</v>
      </c>
    </row>
    <row r="190" spans="15:20" x14ac:dyDescent="0.3">
      <c r="O190">
        <v>189</v>
      </c>
      <c r="P190" t="s">
        <v>155</v>
      </c>
      <c r="Q190" t="s">
        <v>34</v>
      </c>
      <c r="R190">
        <v>1143</v>
      </c>
      <c r="S190">
        <v>1034</v>
      </c>
      <c r="T190">
        <v>1422</v>
      </c>
    </row>
    <row r="191" spans="15:20" x14ac:dyDescent="0.3">
      <c r="O191">
        <v>190</v>
      </c>
      <c r="P191" t="s">
        <v>155</v>
      </c>
      <c r="Q191" t="s">
        <v>37</v>
      </c>
      <c r="R191">
        <v>1059</v>
      </c>
      <c r="S191">
        <v>1162</v>
      </c>
      <c r="T191">
        <v>1381</v>
      </c>
    </row>
    <row r="192" spans="15:20" x14ac:dyDescent="0.3">
      <c r="O192">
        <v>191</v>
      </c>
      <c r="P192" t="s">
        <v>156</v>
      </c>
      <c r="Q192" t="s">
        <v>34</v>
      </c>
      <c r="R192">
        <v>1096</v>
      </c>
      <c r="S192">
        <v>964</v>
      </c>
      <c r="T192">
        <v>1540</v>
      </c>
    </row>
    <row r="193" spans="15:20" x14ac:dyDescent="0.3">
      <c r="O193">
        <v>192</v>
      </c>
      <c r="P193" t="s">
        <v>156</v>
      </c>
      <c r="Q193" t="s">
        <v>37</v>
      </c>
      <c r="R193">
        <v>1278</v>
      </c>
      <c r="S193">
        <v>964</v>
      </c>
      <c r="T193">
        <v>1364</v>
      </c>
    </row>
    <row r="194" spans="15:20" x14ac:dyDescent="0.3">
      <c r="O194">
        <v>193</v>
      </c>
      <c r="P194" t="s">
        <v>157</v>
      </c>
      <c r="Q194" t="s">
        <v>34</v>
      </c>
      <c r="R194">
        <v>1151</v>
      </c>
      <c r="S194">
        <v>913</v>
      </c>
      <c r="T194">
        <v>1537</v>
      </c>
    </row>
    <row r="195" spans="15:20" x14ac:dyDescent="0.3">
      <c r="O195">
        <v>194</v>
      </c>
      <c r="P195" t="s">
        <v>157</v>
      </c>
      <c r="Q195" t="s">
        <v>37</v>
      </c>
      <c r="R195">
        <v>1165</v>
      </c>
      <c r="S195">
        <v>1083</v>
      </c>
      <c r="T195">
        <v>1353</v>
      </c>
    </row>
    <row r="196" spans="15:20" x14ac:dyDescent="0.3">
      <c r="O196">
        <v>195</v>
      </c>
      <c r="P196" t="s">
        <v>158</v>
      </c>
      <c r="Q196" t="s">
        <v>34</v>
      </c>
      <c r="R196">
        <v>1178</v>
      </c>
      <c r="S196">
        <v>889</v>
      </c>
      <c r="T196">
        <v>1533</v>
      </c>
    </row>
    <row r="197" spans="15:20" x14ac:dyDescent="0.3">
      <c r="O197">
        <v>196</v>
      </c>
      <c r="P197" t="s">
        <v>158</v>
      </c>
      <c r="Q197" t="s">
        <v>37</v>
      </c>
      <c r="R197">
        <v>1374</v>
      </c>
      <c r="S197">
        <v>861</v>
      </c>
      <c r="T197">
        <v>1370</v>
      </c>
    </row>
    <row r="198" spans="15:20" x14ac:dyDescent="0.3">
      <c r="O198">
        <v>197</v>
      </c>
      <c r="P198" t="s">
        <v>159</v>
      </c>
      <c r="Q198" t="s">
        <v>34</v>
      </c>
      <c r="R198">
        <v>1206</v>
      </c>
      <c r="S198">
        <v>861</v>
      </c>
      <c r="T198">
        <v>1533</v>
      </c>
    </row>
    <row r="199" spans="15:20" x14ac:dyDescent="0.3">
      <c r="O199">
        <v>198</v>
      </c>
      <c r="P199" t="s">
        <v>159</v>
      </c>
      <c r="Q199" t="s">
        <v>37</v>
      </c>
      <c r="R199">
        <v>1337</v>
      </c>
      <c r="S199">
        <v>674</v>
      </c>
      <c r="T199">
        <v>1592</v>
      </c>
    </row>
    <row r="200" spans="15:20" x14ac:dyDescent="0.3">
      <c r="O200">
        <v>199</v>
      </c>
      <c r="P200" t="s">
        <v>160</v>
      </c>
      <c r="Q200" t="s">
        <v>34</v>
      </c>
      <c r="R200">
        <v>813</v>
      </c>
      <c r="S200">
        <v>653</v>
      </c>
      <c r="T200">
        <v>2131</v>
      </c>
    </row>
    <row r="201" spans="15:20" x14ac:dyDescent="0.3">
      <c r="O201">
        <v>200</v>
      </c>
      <c r="P201" t="s">
        <v>160</v>
      </c>
      <c r="Q201" t="s">
        <v>37</v>
      </c>
      <c r="R201">
        <v>1224</v>
      </c>
      <c r="S201">
        <v>1140</v>
      </c>
      <c r="T201">
        <v>1240</v>
      </c>
    </row>
    <row r="202" spans="15:20" x14ac:dyDescent="0.3">
      <c r="O202">
        <v>201</v>
      </c>
      <c r="P202" t="s">
        <v>161</v>
      </c>
      <c r="Q202" t="s">
        <v>34</v>
      </c>
      <c r="R202">
        <v>0</v>
      </c>
      <c r="S202">
        <v>0</v>
      </c>
      <c r="T202">
        <v>3600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3600</v>
      </c>
    </row>
    <row r="204" spans="15:20" x14ac:dyDescent="0.3">
      <c r="O204">
        <v>203</v>
      </c>
      <c r="P204" t="s">
        <v>162</v>
      </c>
      <c r="Q204" t="s">
        <v>34</v>
      </c>
      <c r="R204">
        <v>1310</v>
      </c>
      <c r="S204">
        <v>782</v>
      </c>
      <c r="T204">
        <v>1511</v>
      </c>
    </row>
    <row r="205" spans="15:20" x14ac:dyDescent="0.3">
      <c r="O205">
        <v>204</v>
      </c>
      <c r="P205" t="s">
        <v>162</v>
      </c>
      <c r="Q205" t="s">
        <v>37</v>
      </c>
      <c r="R205">
        <v>1446</v>
      </c>
      <c r="S205">
        <v>845</v>
      </c>
      <c r="T205">
        <v>1314</v>
      </c>
    </row>
    <row r="206" spans="15:20" x14ac:dyDescent="0.3">
      <c r="O206">
        <v>205</v>
      </c>
      <c r="P206" t="s">
        <v>163</v>
      </c>
      <c r="Q206" t="s">
        <v>34</v>
      </c>
      <c r="R206">
        <v>1494</v>
      </c>
      <c r="S206">
        <v>634</v>
      </c>
      <c r="T206">
        <v>1473</v>
      </c>
    </row>
    <row r="207" spans="15:20" x14ac:dyDescent="0.3">
      <c r="O207">
        <v>206</v>
      </c>
      <c r="P207" t="s">
        <v>163</v>
      </c>
      <c r="Q207" t="s">
        <v>37</v>
      </c>
      <c r="R207">
        <v>1910</v>
      </c>
      <c r="S207">
        <v>833</v>
      </c>
      <c r="T207">
        <v>856</v>
      </c>
    </row>
    <row r="208" spans="15:20" x14ac:dyDescent="0.3">
      <c r="O208">
        <v>207</v>
      </c>
      <c r="P208" t="s">
        <v>164</v>
      </c>
      <c r="Q208" t="s">
        <v>34</v>
      </c>
      <c r="R208">
        <v>1254</v>
      </c>
      <c r="S208">
        <v>811</v>
      </c>
      <c r="T208">
        <v>1536</v>
      </c>
    </row>
    <row r="209" spans="15:20" x14ac:dyDescent="0.3">
      <c r="O209">
        <v>208</v>
      </c>
      <c r="P209" t="s">
        <v>164</v>
      </c>
      <c r="Q209" t="s">
        <v>37</v>
      </c>
      <c r="R209">
        <v>1717</v>
      </c>
      <c r="S209">
        <v>1002</v>
      </c>
      <c r="T209">
        <v>882</v>
      </c>
    </row>
    <row r="210" spans="15:20" x14ac:dyDescent="0.3">
      <c r="O210">
        <v>209</v>
      </c>
      <c r="P210" t="s">
        <v>165</v>
      </c>
      <c r="Q210" t="s">
        <v>34</v>
      </c>
      <c r="R210">
        <v>1279</v>
      </c>
      <c r="S210">
        <v>864</v>
      </c>
      <c r="T210">
        <v>1456</v>
      </c>
    </row>
    <row r="211" spans="15:20" x14ac:dyDescent="0.3">
      <c r="O211">
        <v>210</v>
      </c>
      <c r="P211" t="s">
        <v>165</v>
      </c>
      <c r="Q211" t="s">
        <v>37</v>
      </c>
      <c r="R211">
        <v>1171</v>
      </c>
      <c r="S211">
        <v>1128</v>
      </c>
      <c r="T211">
        <v>1302</v>
      </c>
    </row>
    <row r="212" spans="15:20" x14ac:dyDescent="0.3">
      <c r="O212">
        <v>211</v>
      </c>
      <c r="P212" t="s">
        <v>166</v>
      </c>
      <c r="Q212" t="s">
        <v>34</v>
      </c>
      <c r="R212">
        <v>1397</v>
      </c>
      <c r="S212">
        <v>761</v>
      </c>
      <c r="T212">
        <v>1444</v>
      </c>
    </row>
    <row r="213" spans="15:20" x14ac:dyDescent="0.3">
      <c r="O213">
        <v>212</v>
      </c>
      <c r="P213" t="s">
        <v>166</v>
      </c>
      <c r="Q213" t="s">
        <v>37</v>
      </c>
      <c r="R213">
        <v>1306</v>
      </c>
      <c r="S213">
        <v>918</v>
      </c>
      <c r="T213">
        <v>1377</v>
      </c>
    </row>
    <row r="214" spans="15:20" x14ac:dyDescent="0.3">
      <c r="O214">
        <v>213</v>
      </c>
      <c r="P214" t="s">
        <v>167</v>
      </c>
      <c r="Q214" t="s">
        <v>34</v>
      </c>
      <c r="R214">
        <v>1211</v>
      </c>
      <c r="S214">
        <v>795</v>
      </c>
      <c r="T214">
        <v>1597</v>
      </c>
    </row>
    <row r="215" spans="15:20" x14ac:dyDescent="0.3">
      <c r="O215">
        <v>214</v>
      </c>
      <c r="P215" t="s">
        <v>167</v>
      </c>
      <c r="Q215" t="s">
        <v>37</v>
      </c>
      <c r="R215">
        <v>1002</v>
      </c>
      <c r="S215">
        <v>844</v>
      </c>
      <c r="T215">
        <v>1752</v>
      </c>
    </row>
    <row r="216" spans="15:20" x14ac:dyDescent="0.3">
      <c r="O216">
        <v>215</v>
      </c>
      <c r="P216" t="s">
        <v>168</v>
      </c>
      <c r="Q216" t="s">
        <v>34</v>
      </c>
      <c r="R216">
        <v>0</v>
      </c>
      <c r="S216">
        <v>0</v>
      </c>
      <c r="T216">
        <v>3600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3600</v>
      </c>
    </row>
    <row r="218" spans="15:20" x14ac:dyDescent="0.3">
      <c r="O218">
        <v>217</v>
      </c>
      <c r="P218" t="s">
        <v>169</v>
      </c>
      <c r="Q218" t="s">
        <v>34</v>
      </c>
      <c r="R218">
        <v>1139</v>
      </c>
      <c r="S218">
        <v>929</v>
      </c>
      <c r="T218">
        <v>1534</v>
      </c>
    </row>
    <row r="219" spans="15:20" x14ac:dyDescent="0.3">
      <c r="O219">
        <v>218</v>
      </c>
      <c r="P219" t="s">
        <v>169</v>
      </c>
      <c r="Q219" t="s">
        <v>37</v>
      </c>
      <c r="R219">
        <v>1140</v>
      </c>
      <c r="S219">
        <v>1097</v>
      </c>
      <c r="T219">
        <v>1365</v>
      </c>
    </row>
    <row r="220" spans="15:20" x14ac:dyDescent="0.3">
      <c r="O220">
        <v>219</v>
      </c>
      <c r="P220" t="s">
        <v>170</v>
      </c>
      <c r="Q220" t="s">
        <v>34</v>
      </c>
      <c r="R220">
        <v>1200</v>
      </c>
      <c r="S220">
        <v>848</v>
      </c>
      <c r="T220">
        <v>1554</v>
      </c>
    </row>
    <row r="221" spans="15:20" x14ac:dyDescent="0.3">
      <c r="O221">
        <v>220</v>
      </c>
      <c r="P221" t="s">
        <v>170</v>
      </c>
      <c r="Q221" t="s">
        <v>37</v>
      </c>
      <c r="R221">
        <v>1334</v>
      </c>
      <c r="S221">
        <v>912</v>
      </c>
      <c r="T221">
        <v>1358</v>
      </c>
    </row>
    <row r="222" spans="15:20" x14ac:dyDescent="0.3">
      <c r="O222">
        <v>221</v>
      </c>
      <c r="P222" t="s">
        <v>171</v>
      </c>
      <c r="Q222" t="s">
        <v>34</v>
      </c>
      <c r="R222">
        <v>1218</v>
      </c>
      <c r="S222">
        <v>877</v>
      </c>
      <c r="T222">
        <v>1506</v>
      </c>
    </row>
    <row r="223" spans="15:20" x14ac:dyDescent="0.3">
      <c r="O223">
        <v>222</v>
      </c>
      <c r="P223" t="s">
        <v>171</v>
      </c>
      <c r="Q223" t="s">
        <v>37</v>
      </c>
      <c r="R223">
        <v>1361</v>
      </c>
      <c r="S223">
        <v>918</v>
      </c>
      <c r="T223">
        <v>1325</v>
      </c>
    </row>
    <row r="224" spans="15:20" x14ac:dyDescent="0.3">
      <c r="O224">
        <v>223</v>
      </c>
      <c r="P224" t="s">
        <v>172</v>
      </c>
      <c r="Q224" t="s">
        <v>34</v>
      </c>
      <c r="R224">
        <v>1276</v>
      </c>
      <c r="S224">
        <v>796</v>
      </c>
      <c r="T224">
        <v>1531</v>
      </c>
    </row>
    <row r="225" spans="15:20" x14ac:dyDescent="0.3">
      <c r="O225">
        <v>224</v>
      </c>
      <c r="P225" t="s">
        <v>172</v>
      </c>
      <c r="Q225" t="s">
        <v>37</v>
      </c>
      <c r="R225">
        <v>1558</v>
      </c>
      <c r="S225">
        <v>621</v>
      </c>
      <c r="T225">
        <v>1428</v>
      </c>
    </row>
    <row r="226" spans="15:20" x14ac:dyDescent="0.3">
      <c r="O226">
        <v>225</v>
      </c>
      <c r="P226" t="s">
        <v>173</v>
      </c>
      <c r="Q226" t="s">
        <v>34</v>
      </c>
      <c r="R226">
        <v>1592</v>
      </c>
      <c r="S226">
        <v>952</v>
      </c>
      <c r="T226">
        <v>1059</v>
      </c>
    </row>
    <row r="227" spans="15:20" x14ac:dyDescent="0.3">
      <c r="O227">
        <v>226</v>
      </c>
      <c r="P227" t="s">
        <v>173</v>
      </c>
      <c r="Q227" t="s">
        <v>37</v>
      </c>
      <c r="R227">
        <v>1345</v>
      </c>
      <c r="S227">
        <v>923</v>
      </c>
      <c r="T227">
        <v>1336</v>
      </c>
    </row>
    <row r="228" spans="15:20" x14ac:dyDescent="0.3">
      <c r="O228">
        <v>227</v>
      </c>
      <c r="P228" t="s">
        <v>174</v>
      </c>
      <c r="Q228" t="s">
        <v>34</v>
      </c>
      <c r="R228">
        <v>1091</v>
      </c>
      <c r="S228">
        <v>864</v>
      </c>
      <c r="T228">
        <v>1649</v>
      </c>
    </row>
    <row r="229" spans="15:20" x14ac:dyDescent="0.3">
      <c r="O229">
        <v>228</v>
      </c>
      <c r="P229" t="s">
        <v>174</v>
      </c>
      <c r="Q229" t="s">
        <v>37</v>
      </c>
      <c r="R229">
        <v>1147</v>
      </c>
      <c r="S229">
        <v>731</v>
      </c>
      <c r="T229">
        <v>1725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3600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3600</v>
      </c>
    </row>
    <row r="232" spans="15:20" x14ac:dyDescent="0.3">
      <c r="O232">
        <v>231</v>
      </c>
      <c r="P232" t="s">
        <v>176</v>
      </c>
      <c r="Q232" t="s">
        <v>34</v>
      </c>
      <c r="R232">
        <v>1288</v>
      </c>
      <c r="S232">
        <v>823</v>
      </c>
      <c r="T232">
        <v>1493</v>
      </c>
    </row>
    <row r="233" spans="15:20" x14ac:dyDescent="0.3">
      <c r="O233">
        <v>232</v>
      </c>
      <c r="P233" t="s">
        <v>176</v>
      </c>
      <c r="Q233" t="s">
        <v>37</v>
      </c>
      <c r="R233">
        <v>1221</v>
      </c>
      <c r="S233">
        <v>1043</v>
      </c>
      <c r="T233">
        <v>1336</v>
      </c>
    </row>
    <row r="234" spans="15:20" x14ac:dyDescent="0.3">
      <c r="O234">
        <v>233</v>
      </c>
      <c r="P234" t="s">
        <v>177</v>
      </c>
      <c r="Q234" t="s">
        <v>34</v>
      </c>
      <c r="R234">
        <v>1602</v>
      </c>
      <c r="S234">
        <v>956</v>
      </c>
      <c r="T234">
        <v>1049</v>
      </c>
    </row>
    <row r="235" spans="15:20" x14ac:dyDescent="0.3">
      <c r="O235">
        <v>234</v>
      </c>
      <c r="P235" t="s">
        <v>177</v>
      </c>
      <c r="Q235" t="s">
        <v>37</v>
      </c>
      <c r="R235">
        <v>1959</v>
      </c>
      <c r="S235">
        <v>832</v>
      </c>
      <c r="T235">
        <v>812</v>
      </c>
    </row>
    <row r="236" spans="15:20" x14ac:dyDescent="0.3">
      <c r="O236">
        <v>235</v>
      </c>
      <c r="P236" t="s">
        <v>178</v>
      </c>
      <c r="Q236" t="s">
        <v>34</v>
      </c>
      <c r="R236">
        <v>1492</v>
      </c>
      <c r="S236">
        <v>1121</v>
      </c>
      <c r="T236">
        <v>995</v>
      </c>
    </row>
    <row r="237" spans="15:20" x14ac:dyDescent="0.3">
      <c r="O237">
        <v>236</v>
      </c>
      <c r="P237" t="s">
        <v>178</v>
      </c>
      <c r="Q237" t="s">
        <v>37</v>
      </c>
      <c r="R237">
        <v>1593</v>
      </c>
      <c r="S237">
        <v>892</v>
      </c>
      <c r="T237">
        <v>1116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3600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3600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3600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3600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3600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3600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3600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3600</v>
      </c>
    </row>
    <row r="246" spans="15:20" x14ac:dyDescent="0.3">
      <c r="O246">
        <v>245</v>
      </c>
      <c r="P246" t="s">
        <v>183</v>
      </c>
      <c r="Q246" t="s">
        <v>34</v>
      </c>
      <c r="R246">
        <v>1780</v>
      </c>
      <c r="S246">
        <v>808</v>
      </c>
      <c r="T246">
        <v>1010</v>
      </c>
    </row>
    <row r="247" spans="15:20" x14ac:dyDescent="0.3">
      <c r="O247">
        <v>246</v>
      </c>
      <c r="P247" t="s">
        <v>183</v>
      </c>
      <c r="Q247" t="s">
        <v>37</v>
      </c>
      <c r="R247">
        <v>1271</v>
      </c>
      <c r="S247">
        <v>980</v>
      </c>
      <c r="T247">
        <v>1353</v>
      </c>
    </row>
    <row r="248" spans="15:20" x14ac:dyDescent="0.3">
      <c r="O248">
        <v>247</v>
      </c>
      <c r="P248" t="s">
        <v>184</v>
      </c>
      <c r="Q248" t="s">
        <v>34</v>
      </c>
      <c r="R248">
        <v>1176</v>
      </c>
      <c r="S248">
        <v>943</v>
      </c>
      <c r="T248">
        <v>1484</v>
      </c>
    </row>
    <row r="249" spans="15:20" x14ac:dyDescent="0.3">
      <c r="O249">
        <v>248</v>
      </c>
      <c r="P249" t="s">
        <v>184</v>
      </c>
      <c r="Q249" t="s">
        <v>37</v>
      </c>
      <c r="R249">
        <v>1608</v>
      </c>
      <c r="S249">
        <v>958</v>
      </c>
      <c r="T249">
        <v>1040</v>
      </c>
    </row>
    <row r="250" spans="15:20" x14ac:dyDescent="0.3">
      <c r="O250">
        <v>249</v>
      </c>
      <c r="P250" t="s">
        <v>185</v>
      </c>
      <c r="Q250" t="s">
        <v>34</v>
      </c>
      <c r="R250">
        <v>1523</v>
      </c>
      <c r="S250">
        <v>1060</v>
      </c>
      <c r="T250">
        <v>1016</v>
      </c>
    </row>
    <row r="251" spans="15:20" x14ac:dyDescent="0.3">
      <c r="O251">
        <v>250</v>
      </c>
      <c r="P251" t="s">
        <v>185</v>
      </c>
      <c r="Q251" t="s">
        <v>37</v>
      </c>
      <c r="R251">
        <v>1365</v>
      </c>
      <c r="S251">
        <v>900</v>
      </c>
      <c r="T251">
        <v>1337</v>
      </c>
    </row>
    <row r="252" spans="15:20" x14ac:dyDescent="0.3">
      <c r="O252">
        <v>251</v>
      </c>
      <c r="P252" t="s">
        <v>186</v>
      </c>
      <c r="Q252" t="s">
        <v>34</v>
      </c>
      <c r="R252">
        <v>1677</v>
      </c>
      <c r="S252">
        <v>891</v>
      </c>
      <c r="T252">
        <v>1031</v>
      </c>
    </row>
    <row r="253" spans="15:20" x14ac:dyDescent="0.3">
      <c r="O253">
        <v>252</v>
      </c>
      <c r="P253" t="s">
        <v>186</v>
      </c>
      <c r="Q253" t="s">
        <v>37</v>
      </c>
      <c r="R253">
        <v>1379</v>
      </c>
      <c r="S253">
        <v>865</v>
      </c>
      <c r="T253">
        <v>1362</v>
      </c>
    </row>
    <row r="254" spans="15:20" x14ac:dyDescent="0.3">
      <c r="O254">
        <v>253</v>
      </c>
      <c r="P254" t="s">
        <v>187</v>
      </c>
      <c r="Q254" t="s">
        <v>34</v>
      </c>
      <c r="R254">
        <v>1689</v>
      </c>
      <c r="S254">
        <v>896</v>
      </c>
      <c r="T254">
        <v>1017</v>
      </c>
    </row>
    <row r="255" spans="15:20" x14ac:dyDescent="0.3">
      <c r="O255">
        <v>254</v>
      </c>
      <c r="P255" t="s">
        <v>187</v>
      </c>
      <c r="Q255" t="s">
        <v>37</v>
      </c>
      <c r="R255">
        <v>1377</v>
      </c>
      <c r="S255">
        <v>687</v>
      </c>
      <c r="T255">
        <v>1539</v>
      </c>
    </row>
    <row r="256" spans="15:20" x14ac:dyDescent="0.3">
      <c r="O256">
        <v>255</v>
      </c>
      <c r="P256" t="s">
        <v>188</v>
      </c>
      <c r="Q256" t="s">
        <v>34</v>
      </c>
      <c r="R256">
        <v>1359</v>
      </c>
      <c r="S256">
        <v>1080</v>
      </c>
      <c r="T256">
        <v>1160</v>
      </c>
    </row>
    <row r="257" spans="15:20" x14ac:dyDescent="0.3">
      <c r="O257">
        <v>256</v>
      </c>
      <c r="P257" t="s">
        <v>188</v>
      </c>
      <c r="Q257" t="s">
        <v>37</v>
      </c>
      <c r="R257">
        <v>1547</v>
      </c>
      <c r="S257">
        <v>795</v>
      </c>
      <c r="T257">
        <v>1260</v>
      </c>
    </row>
    <row r="258" spans="15:20" x14ac:dyDescent="0.3">
      <c r="O258">
        <v>257</v>
      </c>
      <c r="P258" t="s">
        <v>189</v>
      </c>
      <c r="Q258" t="s">
        <v>34</v>
      </c>
      <c r="R258">
        <v>1033</v>
      </c>
      <c r="S258">
        <v>865</v>
      </c>
      <c r="T258">
        <v>1706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3600</v>
      </c>
    </row>
    <row r="260" spans="15:20" x14ac:dyDescent="0.3">
      <c r="O260">
        <v>259</v>
      </c>
      <c r="P260" t="s">
        <v>190</v>
      </c>
      <c r="Q260" t="s">
        <v>34</v>
      </c>
      <c r="R260">
        <v>1417</v>
      </c>
      <c r="S260">
        <v>682</v>
      </c>
      <c r="T260">
        <v>1505</v>
      </c>
    </row>
    <row r="261" spans="15:20" x14ac:dyDescent="0.3">
      <c r="O261">
        <v>260</v>
      </c>
      <c r="P261" t="s">
        <v>190</v>
      </c>
      <c r="Q261" t="s">
        <v>37</v>
      </c>
      <c r="R261">
        <v>1670</v>
      </c>
      <c r="S261">
        <v>1097</v>
      </c>
      <c r="T261">
        <v>835</v>
      </c>
    </row>
    <row r="262" spans="15:20" x14ac:dyDescent="0.3">
      <c r="O262">
        <v>261</v>
      </c>
      <c r="P262" t="s">
        <v>191</v>
      </c>
      <c r="Q262" t="s">
        <v>34</v>
      </c>
      <c r="R262">
        <v>1769</v>
      </c>
      <c r="S262">
        <v>827</v>
      </c>
      <c r="T262">
        <v>1009</v>
      </c>
    </row>
    <row r="263" spans="15:20" x14ac:dyDescent="0.3">
      <c r="O263">
        <v>262</v>
      </c>
      <c r="P263" t="s">
        <v>191</v>
      </c>
      <c r="Q263" t="s">
        <v>37</v>
      </c>
      <c r="R263">
        <v>1469</v>
      </c>
      <c r="S263">
        <v>1241</v>
      </c>
      <c r="T263">
        <v>890</v>
      </c>
    </row>
    <row r="264" spans="15:20" x14ac:dyDescent="0.3">
      <c r="O264">
        <v>263</v>
      </c>
      <c r="P264" t="s">
        <v>192</v>
      </c>
      <c r="Q264" t="s">
        <v>34</v>
      </c>
      <c r="R264">
        <v>1635</v>
      </c>
      <c r="S264">
        <v>981</v>
      </c>
      <c r="T264">
        <v>990</v>
      </c>
    </row>
    <row r="265" spans="15:20" x14ac:dyDescent="0.3">
      <c r="O265">
        <v>264</v>
      </c>
      <c r="P265" t="s">
        <v>192</v>
      </c>
      <c r="Q265" t="s">
        <v>37</v>
      </c>
      <c r="R265">
        <v>1528</v>
      </c>
      <c r="S265">
        <v>1143</v>
      </c>
      <c r="T265">
        <v>931</v>
      </c>
    </row>
    <row r="266" spans="15:20" x14ac:dyDescent="0.3">
      <c r="O266">
        <v>265</v>
      </c>
      <c r="P266" t="s">
        <v>193</v>
      </c>
      <c r="Q266" t="s">
        <v>34</v>
      </c>
      <c r="R266">
        <v>1581</v>
      </c>
      <c r="S266">
        <v>1020</v>
      </c>
      <c r="T266">
        <v>1006</v>
      </c>
    </row>
    <row r="267" spans="15:20" x14ac:dyDescent="0.3">
      <c r="O267">
        <v>266</v>
      </c>
      <c r="P267" t="s">
        <v>193</v>
      </c>
      <c r="Q267" t="s">
        <v>37</v>
      </c>
      <c r="R267">
        <v>1652</v>
      </c>
      <c r="S267">
        <v>1122</v>
      </c>
      <c r="T267">
        <v>827</v>
      </c>
    </row>
    <row r="268" spans="15:20" x14ac:dyDescent="0.3">
      <c r="O268">
        <v>267</v>
      </c>
      <c r="P268" t="s">
        <v>194</v>
      </c>
      <c r="Q268" t="s">
        <v>34</v>
      </c>
      <c r="R268">
        <v>1648</v>
      </c>
      <c r="S268">
        <v>950</v>
      </c>
      <c r="T268">
        <v>1006</v>
      </c>
    </row>
    <row r="269" spans="15:20" x14ac:dyDescent="0.3">
      <c r="O269">
        <v>268</v>
      </c>
      <c r="P269" t="s">
        <v>194</v>
      </c>
      <c r="Q269" t="s">
        <v>37</v>
      </c>
      <c r="R269">
        <v>1544</v>
      </c>
      <c r="S269">
        <v>1222</v>
      </c>
      <c r="T269">
        <v>836</v>
      </c>
    </row>
    <row r="270" spans="15:20" x14ac:dyDescent="0.3">
      <c r="O270">
        <v>269</v>
      </c>
      <c r="P270" t="s">
        <v>195</v>
      </c>
      <c r="Q270" t="s">
        <v>34</v>
      </c>
      <c r="R270">
        <v>1394</v>
      </c>
      <c r="S270">
        <v>1047</v>
      </c>
      <c r="T270">
        <v>1165</v>
      </c>
    </row>
    <row r="271" spans="15:20" x14ac:dyDescent="0.3">
      <c r="O271">
        <v>270</v>
      </c>
      <c r="P271" t="s">
        <v>195</v>
      </c>
      <c r="Q271" t="s">
        <v>37</v>
      </c>
      <c r="R271">
        <v>1434</v>
      </c>
      <c r="S271">
        <v>881</v>
      </c>
      <c r="T271">
        <v>1286</v>
      </c>
    </row>
    <row r="272" spans="15:20" x14ac:dyDescent="0.3">
      <c r="O272">
        <v>271</v>
      </c>
      <c r="P272" t="s">
        <v>196</v>
      </c>
      <c r="Q272" t="s">
        <v>34</v>
      </c>
      <c r="R272">
        <v>1122</v>
      </c>
      <c r="S272">
        <v>791</v>
      </c>
      <c r="T272">
        <v>1691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3600</v>
      </c>
    </row>
    <row r="274" spans="15:20" x14ac:dyDescent="0.3">
      <c r="O274">
        <v>273</v>
      </c>
      <c r="P274" t="s">
        <v>197</v>
      </c>
      <c r="Q274" t="s">
        <v>34</v>
      </c>
      <c r="R274">
        <v>1314</v>
      </c>
      <c r="S274">
        <v>1273</v>
      </c>
      <c r="T274">
        <v>1014</v>
      </c>
    </row>
    <row r="275" spans="15:20" x14ac:dyDescent="0.3">
      <c r="O275">
        <v>274</v>
      </c>
      <c r="P275" t="s">
        <v>197</v>
      </c>
      <c r="Q275" t="s">
        <v>37</v>
      </c>
      <c r="R275">
        <v>1649</v>
      </c>
      <c r="S275">
        <v>1081</v>
      </c>
      <c r="T275">
        <v>880</v>
      </c>
    </row>
    <row r="276" spans="15:20" x14ac:dyDescent="0.3">
      <c r="O276">
        <v>275</v>
      </c>
      <c r="P276" t="s">
        <v>198</v>
      </c>
      <c r="Q276" t="s">
        <v>34</v>
      </c>
      <c r="R276">
        <v>1528</v>
      </c>
      <c r="S276">
        <v>1051</v>
      </c>
      <c r="T276">
        <v>1021</v>
      </c>
    </row>
    <row r="277" spans="15:20" x14ac:dyDescent="0.3">
      <c r="O277">
        <v>276</v>
      </c>
      <c r="P277" t="s">
        <v>198</v>
      </c>
      <c r="Q277" t="s">
        <v>37</v>
      </c>
      <c r="R277">
        <v>1599</v>
      </c>
      <c r="S277">
        <v>1203</v>
      </c>
      <c r="T277">
        <v>806</v>
      </c>
    </row>
    <row r="278" spans="15:20" x14ac:dyDescent="0.3">
      <c r="O278">
        <v>277</v>
      </c>
      <c r="P278" t="s">
        <v>199</v>
      </c>
      <c r="Q278" t="s">
        <v>34</v>
      </c>
      <c r="R278">
        <v>1431</v>
      </c>
      <c r="S278">
        <v>1166</v>
      </c>
      <c r="T278">
        <v>1006</v>
      </c>
    </row>
    <row r="279" spans="15:20" x14ac:dyDescent="0.3">
      <c r="O279">
        <v>278</v>
      </c>
      <c r="P279" t="s">
        <v>199</v>
      </c>
      <c r="Q279" t="s">
        <v>37</v>
      </c>
      <c r="R279">
        <v>1620</v>
      </c>
      <c r="S279">
        <v>1171</v>
      </c>
      <c r="T279">
        <v>814</v>
      </c>
    </row>
    <row r="280" spans="15:20" x14ac:dyDescent="0.3">
      <c r="O280">
        <v>279</v>
      </c>
      <c r="P280" t="s">
        <v>200</v>
      </c>
      <c r="Q280" t="s">
        <v>34</v>
      </c>
      <c r="R280">
        <v>1448</v>
      </c>
      <c r="S280">
        <v>1145</v>
      </c>
      <c r="T280">
        <v>1010</v>
      </c>
    </row>
    <row r="281" spans="15:20" x14ac:dyDescent="0.3">
      <c r="O281">
        <v>280</v>
      </c>
      <c r="P281" t="s">
        <v>200</v>
      </c>
      <c r="Q281" t="s">
        <v>37</v>
      </c>
      <c r="R281">
        <v>1457</v>
      </c>
      <c r="S281">
        <v>1358</v>
      </c>
      <c r="T281">
        <v>792</v>
      </c>
    </row>
    <row r="282" spans="15:20" x14ac:dyDescent="0.3">
      <c r="O282">
        <v>281</v>
      </c>
      <c r="P282" t="s">
        <v>201</v>
      </c>
      <c r="Q282" t="s">
        <v>34</v>
      </c>
      <c r="R282">
        <v>1459</v>
      </c>
      <c r="S282">
        <v>1082</v>
      </c>
      <c r="T282">
        <v>1061</v>
      </c>
    </row>
    <row r="283" spans="15:20" x14ac:dyDescent="0.3">
      <c r="O283">
        <v>282</v>
      </c>
      <c r="P283" t="s">
        <v>201</v>
      </c>
      <c r="Q283" t="s">
        <v>37</v>
      </c>
      <c r="R283">
        <v>1569</v>
      </c>
      <c r="S283">
        <v>1004</v>
      </c>
      <c r="T283">
        <v>1030</v>
      </c>
    </row>
    <row r="284" spans="15:20" x14ac:dyDescent="0.3">
      <c r="O284">
        <v>283</v>
      </c>
      <c r="P284" t="s">
        <v>202</v>
      </c>
      <c r="Q284" t="s">
        <v>34</v>
      </c>
      <c r="R284">
        <v>1393</v>
      </c>
      <c r="S284">
        <v>1056</v>
      </c>
      <c r="T284">
        <v>1151</v>
      </c>
    </row>
    <row r="285" spans="15:20" x14ac:dyDescent="0.3">
      <c r="O285">
        <v>284</v>
      </c>
      <c r="P285" t="s">
        <v>202</v>
      </c>
      <c r="Q285" t="s">
        <v>37</v>
      </c>
      <c r="R285">
        <v>1378</v>
      </c>
      <c r="S285">
        <v>948</v>
      </c>
      <c r="T285">
        <v>1279</v>
      </c>
    </row>
    <row r="286" spans="15:20" x14ac:dyDescent="0.3">
      <c r="O286">
        <v>285</v>
      </c>
      <c r="P286" t="s">
        <v>203</v>
      </c>
      <c r="Q286" t="s">
        <v>34</v>
      </c>
      <c r="R286">
        <v>2</v>
      </c>
      <c r="S286">
        <v>2</v>
      </c>
      <c r="T286">
        <v>3595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3600</v>
      </c>
    </row>
    <row r="288" spans="15:20" x14ac:dyDescent="0.3">
      <c r="O288">
        <v>287</v>
      </c>
      <c r="P288" t="s">
        <v>204</v>
      </c>
      <c r="Q288" t="s">
        <v>34</v>
      </c>
      <c r="R288">
        <v>1527</v>
      </c>
      <c r="S288">
        <v>1065</v>
      </c>
      <c r="T288">
        <v>1016</v>
      </c>
    </row>
    <row r="289" spans="15:20" x14ac:dyDescent="0.3">
      <c r="O289">
        <v>288</v>
      </c>
      <c r="P289" t="s">
        <v>204</v>
      </c>
      <c r="Q289" t="s">
        <v>37</v>
      </c>
      <c r="R289">
        <v>1461</v>
      </c>
      <c r="S289">
        <v>1332</v>
      </c>
      <c r="T289">
        <v>811</v>
      </c>
    </row>
    <row r="290" spans="15:20" x14ac:dyDescent="0.3">
      <c r="O290">
        <v>289</v>
      </c>
      <c r="P290" t="s">
        <v>205</v>
      </c>
      <c r="Q290" t="s">
        <v>34</v>
      </c>
      <c r="R290">
        <v>1326</v>
      </c>
      <c r="S290">
        <v>768</v>
      </c>
      <c r="T290">
        <v>1512</v>
      </c>
    </row>
    <row r="291" spans="15:20" x14ac:dyDescent="0.3">
      <c r="O291">
        <v>290</v>
      </c>
      <c r="P291" t="s">
        <v>205</v>
      </c>
      <c r="Q291" t="s">
        <v>37</v>
      </c>
      <c r="R291">
        <v>1351</v>
      </c>
      <c r="S291">
        <v>1415</v>
      </c>
      <c r="T291">
        <v>833</v>
      </c>
    </row>
    <row r="292" spans="15:20" x14ac:dyDescent="0.3">
      <c r="O292">
        <v>291</v>
      </c>
      <c r="P292" t="s">
        <v>206</v>
      </c>
      <c r="Q292" t="s">
        <v>34</v>
      </c>
      <c r="R292">
        <v>1598</v>
      </c>
      <c r="S292">
        <v>998</v>
      </c>
      <c r="T292">
        <v>1008</v>
      </c>
    </row>
    <row r="293" spans="15:20" x14ac:dyDescent="0.3">
      <c r="O293">
        <v>292</v>
      </c>
      <c r="P293" t="s">
        <v>206</v>
      </c>
      <c r="Q293" t="s">
        <v>37</v>
      </c>
      <c r="R293">
        <v>1522</v>
      </c>
      <c r="S293">
        <v>1251</v>
      </c>
      <c r="T293">
        <v>828</v>
      </c>
    </row>
    <row r="294" spans="15:20" x14ac:dyDescent="0.3">
      <c r="O294">
        <v>293</v>
      </c>
      <c r="P294" t="s">
        <v>207</v>
      </c>
      <c r="Q294" t="s">
        <v>34</v>
      </c>
      <c r="R294">
        <v>1483</v>
      </c>
      <c r="S294">
        <v>815</v>
      </c>
      <c r="T294">
        <v>1305</v>
      </c>
    </row>
    <row r="295" spans="15:20" x14ac:dyDescent="0.3">
      <c r="O295">
        <v>294</v>
      </c>
      <c r="P295" t="s">
        <v>207</v>
      </c>
      <c r="Q295" t="s">
        <v>37</v>
      </c>
      <c r="R295">
        <v>1749</v>
      </c>
      <c r="S295">
        <v>984</v>
      </c>
      <c r="T295">
        <v>868</v>
      </c>
    </row>
    <row r="296" spans="15:20" x14ac:dyDescent="0.3">
      <c r="O296">
        <v>295</v>
      </c>
      <c r="P296" t="s">
        <v>208</v>
      </c>
      <c r="Q296" t="s">
        <v>34</v>
      </c>
      <c r="R296">
        <v>1237</v>
      </c>
      <c r="S296">
        <v>848</v>
      </c>
      <c r="T296">
        <v>1520</v>
      </c>
    </row>
    <row r="297" spans="15:20" x14ac:dyDescent="0.3">
      <c r="O297">
        <v>296</v>
      </c>
      <c r="P297" t="s">
        <v>208</v>
      </c>
      <c r="Q297" t="s">
        <v>37</v>
      </c>
      <c r="R297">
        <v>1566</v>
      </c>
      <c r="S297">
        <v>1190</v>
      </c>
      <c r="T297">
        <v>847</v>
      </c>
    </row>
    <row r="298" spans="15:20" x14ac:dyDescent="0.3">
      <c r="O298">
        <v>297</v>
      </c>
      <c r="P298" t="s">
        <v>209</v>
      </c>
      <c r="Q298" t="s">
        <v>34</v>
      </c>
      <c r="R298">
        <v>1456</v>
      </c>
      <c r="S298">
        <v>1007</v>
      </c>
      <c r="T298">
        <v>1140</v>
      </c>
    </row>
    <row r="299" spans="15:20" x14ac:dyDescent="0.3">
      <c r="O299">
        <v>298</v>
      </c>
      <c r="P299" t="s">
        <v>209</v>
      </c>
      <c r="Q299" t="s">
        <v>37</v>
      </c>
      <c r="R299">
        <v>1607</v>
      </c>
      <c r="S299">
        <v>955</v>
      </c>
      <c r="T299">
        <v>1041</v>
      </c>
    </row>
    <row r="300" spans="15:20" x14ac:dyDescent="0.3">
      <c r="O300">
        <v>299</v>
      </c>
      <c r="P300" t="s">
        <v>210</v>
      </c>
      <c r="Q300" t="s">
        <v>34</v>
      </c>
      <c r="R300">
        <v>628</v>
      </c>
      <c r="S300">
        <v>0</v>
      </c>
      <c r="T300">
        <v>2876</v>
      </c>
    </row>
    <row r="301" spans="15:20" x14ac:dyDescent="0.3">
      <c r="O301">
        <v>300</v>
      </c>
      <c r="P301" t="s">
        <v>210</v>
      </c>
      <c r="Q301" t="s">
        <v>37</v>
      </c>
      <c r="R301">
        <v>680</v>
      </c>
      <c r="S301">
        <v>0</v>
      </c>
      <c r="T301">
        <v>2920</v>
      </c>
    </row>
    <row r="302" spans="15:20" x14ac:dyDescent="0.3">
      <c r="O302">
        <v>301</v>
      </c>
      <c r="P302" t="s">
        <v>33</v>
      </c>
      <c r="Q302" t="s">
        <v>34</v>
      </c>
      <c r="R302">
        <v>1915</v>
      </c>
      <c r="S302">
        <v>873</v>
      </c>
      <c r="T302">
        <v>813</v>
      </c>
    </row>
    <row r="303" spans="15:20" x14ac:dyDescent="0.3">
      <c r="O303">
        <v>302</v>
      </c>
      <c r="P303" t="s">
        <v>33</v>
      </c>
      <c r="Q303" t="s">
        <v>37</v>
      </c>
      <c r="R303">
        <v>1499</v>
      </c>
      <c r="S303">
        <v>935</v>
      </c>
      <c r="T303">
        <v>1168</v>
      </c>
    </row>
    <row r="304" spans="15:20" x14ac:dyDescent="0.3">
      <c r="O304">
        <v>303</v>
      </c>
      <c r="P304" t="s">
        <v>39</v>
      </c>
      <c r="Q304" t="s">
        <v>34</v>
      </c>
      <c r="R304">
        <v>1581</v>
      </c>
      <c r="S304">
        <v>1012</v>
      </c>
      <c r="T304">
        <v>1010</v>
      </c>
    </row>
    <row r="305" spans="15:20" x14ac:dyDescent="0.3">
      <c r="O305">
        <v>304</v>
      </c>
      <c r="P305" t="s">
        <v>39</v>
      </c>
      <c r="Q305" t="s">
        <v>37</v>
      </c>
      <c r="R305">
        <v>1750</v>
      </c>
      <c r="S305">
        <v>985</v>
      </c>
      <c r="T305">
        <v>873</v>
      </c>
    </row>
    <row r="306" spans="15:20" x14ac:dyDescent="0.3">
      <c r="O306">
        <v>305</v>
      </c>
      <c r="P306" t="s">
        <v>43</v>
      </c>
      <c r="Q306" t="s">
        <v>34</v>
      </c>
      <c r="R306">
        <v>1139</v>
      </c>
      <c r="S306">
        <v>936</v>
      </c>
      <c r="T306">
        <v>1527</v>
      </c>
    </row>
    <row r="307" spans="15:20" x14ac:dyDescent="0.3">
      <c r="O307">
        <v>306</v>
      </c>
      <c r="P307" t="s">
        <v>43</v>
      </c>
      <c r="Q307" t="s">
        <v>37</v>
      </c>
      <c r="R307">
        <v>1291</v>
      </c>
      <c r="S307">
        <v>927</v>
      </c>
      <c r="T307">
        <v>1388</v>
      </c>
    </row>
    <row r="308" spans="15:20" x14ac:dyDescent="0.3">
      <c r="O308">
        <v>307</v>
      </c>
      <c r="P308" t="s">
        <v>48</v>
      </c>
      <c r="Q308" t="s">
        <v>34</v>
      </c>
      <c r="R308">
        <v>1220</v>
      </c>
      <c r="S308">
        <v>843</v>
      </c>
      <c r="T308">
        <v>1542</v>
      </c>
    </row>
    <row r="309" spans="15:20" x14ac:dyDescent="0.3">
      <c r="O309">
        <v>308</v>
      </c>
      <c r="P309" t="s">
        <v>48</v>
      </c>
      <c r="Q309" t="s">
        <v>37</v>
      </c>
      <c r="R309">
        <v>1324</v>
      </c>
      <c r="S309">
        <v>932</v>
      </c>
      <c r="T309">
        <v>1351</v>
      </c>
    </row>
    <row r="310" spans="15:20" x14ac:dyDescent="0.3">
      <c r="O310">
        <v>309</v>
      </c>
      <c r="P310" t="s">
        <v>52</v>
      </c>
      <c r="Q310" t="s">
        <v>34</v>
      </c>
      <c r="R310">
        <v>1253</v>
      </c>
      <c r="S310">
        <v>823</v>
      </c>
      <c r="T310">
        <v>1526</v>
      </c>
    </row>
    <row r="311" spans="15:20" x14ac:dyDescent="0.3">
      <c r="O311">
        <v>310</v>
      </c>
      <c r="P311" t="s">
        <v>52</v>
      </c>
      <c r="Q311" t="s">
        <v>37</v>
      </c>
      <c r="R311">
        <v>1571</v>
      </c>
      <c r="S311">
        <v>1169</v>
      </c>
      <c r="T311">
        <v>862</v>
      </c>
    </row>
    <row r="312" spans="15:20" x14ac:dyDescent="0.3">
      <c r="O312">
        <v>311</v>
      </c>
      <c r="P312" t="s">
        <v>56</v>
      </c>
      <c r="Q312" t="s">
        <v>34</v>
      </c>
      <c r="R312">
        <v>1136</v>
      </c>
      <c r="S312">
        <v>829</v>
      </c>
      <c r="T312">
        <v>1635</v>
      </c>
    </row>
    <row r="313" spans="15:20" x14ac:dyDescent="0.3">
      <c r="O313">
        <v>312</v>
      </c>
      <c r="P313" t="s">
        <v>56</v>
      </c>
      <c r="Q313" t="s">
        <v>37</v>
      </c>
      <c r="R313">
        <v>1393</v>
      </c>
      <c r="S313">
        <v>952</v>
      </c>
      <c r="T313">
        <v>1257</v>
      </c>
    </row>
    <row r="314" spans="15:20" x14ac:dyDescent="0.3">
      <c r="O314">
        <v>313</v>
      </c>
      <c r="P314" t="s">
        <v>60</v>
      </c>
      <c r="Q314" t="s">
        <v>34</v>
      </c>
      <c r="R314">
        <v>9</v>
      </c>
      <c r="S314">
        <v>1</v>
      </c>
      <c r="T314">
        <v>3589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3600</v>
      </c>
    </row>
    <row r="316" spans="15:20" x14ac:dyDescent="0.3">
      <c r="O316">
        <v>315</v>
      </c>
      <c r="P316" t="s">
        <v>62</v>
      </c>
      <c r="Q316" t="s">
        <v>34</v>
      </c>
      <c r="R316">
        <v>1223</v>
      </c>
      <c r="S316">
        <v>855</v>
      </c>
      <c r="T316">
        <v>1524</v>
      </c>
    </row>
    <row r="317" spans="15:20" x14ac:dyDescent="0.3">
      <c r="O317">
        <v>316</v>
      </c>
      <c r="P317" t="s">
        <v>62</v>
      </c>
      <c r="Q317" t="s">
        <v>37</v>
      </c>
      <c r="R317">
        <v>1182</v>
      </c>
      <c r="S317">
        <v>1036</v>
      </c>
      <c r="T317">
        <v>1384</v>
      </c>
    </row>
    <row r="318" spans="15:20" x14ac:dyDescent="0.3">
      <c r="O318">
        <v>317</v>
      </c>
      <c r="P318" t="s">
        <v>64</v>
      </c>
      <c r="Q318" t="s">
        <v>34</v>
      </c>
      <c r="R318">
        <v>1672</v>
      </c>
      <c r="S318">
        <v>930</v>
      </c>
      <c r="T318">
        <v>1004</v>
      </c>
    </row>
    <row r="319" spans="15:20" x14ac:dyDescent="0.3">
      <c r="O319">
        <v>318</v>
      </c>
      <c r="P319" t="s">
        <v>64</v>
      </c>
      <c r="Q319" t="s">
        <v>37</v>
      </c>
      <c r="R319">
        <v>1801</v>
      </c>
      <c r="S319">
        <v>963</v>
      </c>
      <c r="T319">
        <v>837</v>
      </c>
    </row>
    <row r="320" spans="15:20" x14ac:dyDescent="0.3">
      <c r="O320">
        <v>319</v>
      </c>
      <c r="P320" t="s">
        <v>66</v>
      </c>
      <c r="Q320" t="s">
        <v>34</v>
      </c>
      <c r="R320">
        <v>1683</v>
      </c>
      <c r="S320">
        <v>917</v>
      </c>
      <c r="T320">
        <v>1004</v>
      </c>
    </row>
    <row r="321" spans="15:20" x14ac:dyDescent="0.3">
      <c r="O321">
        <v>320</v>
      </c>
      <c r="P321" t="s">
        <v>66</v>
      </c>
      <c r="Q321" t="s">
        <v>37</v>
      </c>
      <c r="R321">
        <v>1821</v>
      </c>
      <c r="S321">
        <v>865</v>
      </c>
      <c r="T321">
        <v>915</v>
      </c>
    </row>
    <row r="322" spans="15:20" x14ac:dyDescent="0.3">
      <c r="O322">
        <v>321</v>
      </c>
      <c r="P322" t="s">
        <v>68</v>
      </c>
      <c r="Q322" t="s">
        <v>34</v>
      </c>
      <c r="R322">
        <v>1555</v>
      </c>
      <c r="S322">
        <v>823</v>
      </c>
      <c r="T322">
        <v>1224</v>
      </c>
    </row>
    <row r="323" spans="15:20" x14ac:dyDescent="0.3">
      <c r="O323">
        <v>322</v>
      </c>
      <c r="P323" t="s">
        <v>68</v>
      </c>
      <c r="Q323" t="s">
        <v>37</v>
      </c>
      <c r="R323">
        <v>1405</v>
      </c>
      <c r="S323">
        <v>1022</v>
      </c>
      <c r="T323">
        <v>1174</v>
      </c>
    </row>
    <row r="324" spans="15:20" x14ac:dyDescent="0.3">
      <c r="O324">
        <v>323</v>
      </c>
      <c r="P324" t="s">
        <v>70</v>
      </c>
      <c r="Q324" t="s">
        <v>34</v>
      </c>
      <c r="R324">
        <v>1529</v>
      </c>
      <c r="S324">
        <v>1071</v>
      </c>
      <c r="T324">
        <v>1006</v>
      </c>
    </row>
    <row r="325" spans="15:20" x14ac:dyDescent="0.3">
      <c r="O325">
        <v>324</v>
      </c>
      <c r="P325" t="s">
        <v>70</v>
      </c>
      <c r="Q325" t="s">
        <v>37</v>
      </c>
      <c r="R325">
        <v>1283</v>
      </c>
      <c r="S325">
        <v>1203</v>
      </c>
      <c r="T325">
        <v>1113</v>
      </c>
    </row>
    <row r="326" spans="15:20" x14ac:dyDescent="0.3">
      <c r="O326">
        <v>325</v>
      </c>
      <c r="P326" t="s">
        <v>72</v>
      </c>
      <c r="Q326" t="s">
        <v>34</v>
      </c>
      <c r="R326">
        <v>1352</v>
      </c>
      <c r="S326">
        <v>1103</v>
      </c>
      <c r="T326">
        <v>1144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326"/>
  <sheetViews>
    <sheetView zoomScaleNormal="100" workbookViewId="0">
      <selection activeCell="A2" sqref="A2:F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358</v>
      </c>
      <c r="E2">
        <v>333</v>
      </c>
      <c r="F2">
        <v>1469</v>
      </c>
      <c r="H2" t="s">
        <v>35</v>
      </c>
      <c r="I2" s="1">
        <v>0.27450980392156871</v>
      </c>
      <c r="J2" s="1">
        <v>0.28245614035087718</v>
      </c>
      <c r="K2" s="1">
        <f>IFERROR(SUMIFS(S:S,P:P,"*/01/2026")/(SUMIFS(R:R,P:P,"*/01/2026")+SUMIFS(S:S,P:P,"*/01/2026")+SUMIFS(T:T,P:P,"*/01/2026")),"")</f>
        <v>0.15115834887535673</v>
      </c>
      <c r="L2" s="1">
        <f>IFERROR(SUMIFS(R:R,P:P,"*/01/2026")/(SUMIFS(R:R,P:P,"*/01/2026")+SUMIFS(S:S,P:P,"*/01/2026")+SUMIFS(T:T,P:P,"*/01/2026")),"")</f>
        <v>0.20187403096420467</v>
      </c>
      <c r="M2" s="1">
        <f>IFERROR(SUMIFS(T:T,P:P,"*/01/2026")/(SUMIFS(R:R,P:P,"*/01/2026")+SUMIFS(S:S,P:P,"*/01/2026")+SUMIFS(T:T,P:P,"*/01/2026")),"")</f>
        <v>0.64696762016043863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968</v>
      </c>
      <c r="E3">
        <v>586</v>
      </c>
      <c r="F3">
        <v>623</v>
      </c>
      <c r="H3" t="s">
        <v>38</v>
      </c>
      <c r="I3" s="1">
        <v>0.27450980392156871</v>
      </c>
      <c r="J3" s="1">
        <v>0.28245614035087718</v>
      </c>
      <c r="K3" s="1">
        <f>IFERROR(SUMIFS(S:S,P:P,"*/02/2026")/(SUMIFS(R:R,P:P,"*/02/2026")+SUMIFS(S:S,P:P,"*/02/2026")+SUMIFS(T:T,P:P,"*/02/2026")),"")</f>
        <v>0.12992551410117875</v>
      </c>
      <c r="L3" s="1">
        <f>IFERROR(SUMIFS(R:R,P:P,"*/02/2026")/(SUMIFS(R:R,P:P,"*/02/2026")+SUMIFS(S:S,P:P,"*/02/2026")+SUMIFS(T:T,P:P,"*/02/2026")),"")</f>
        <v>0.14813867740099479</v>
      </c>
      <c r="M3" s="1">
        <f>IFERROR(SUMIFS(T:T,P:P,"*/02/2026")/(SUMIFS(R:R,P:P,"*/02/2026")+SUMIFS(S:S,P:P,"*/02/2026")+SUMIFS(T:T,P:P,"*/02/2026")),"")</f>
        <v>0.72193580849782646</v>
      </c>
      <c r="O3">
        <v>2</v>
      </c>
      <c r="P3" t="s">
        <v>36</v>
      </c>
      <c r="Q3" t="s">
        <v>37</v>
      </c>
      <c r="R3">
        <v>44</v>
      </c>
      <c r="S3">
        <v>62</v>
      </c>
      <c r="T3">
        <v>2052</v>
      </c>
    </row>
    <row r="4" spans="1:20" x14ac:dyDescent="0.3">
      <c r="A4">
        <v>3</v>
      </c>
      <c r="B4" t="s">
        <v>39</v>
      </c>
      <c r="C4" t="s">
        <v>34</v>
      </c>
      <c r="D4">
        <v>338</v>
      </c>
      <c r="E4">
        <v>480</v>
      </c>
      <c r="F4">
        <v>1346</v>
      </c>
      <c r="H4" t="s">
        <v>40</v>
      </c>
      <c r="I4" s="1">
        <v>0.27450980392156871</v>
      </c>
      <c r="J4" s="1">
        <v>0.28245614035087718</v>
      </c>
      <c r="K4" s="1">
        <f>IFERROR(SUMIFS(S:S,P:P,"*/03/2026")/(SUMIFS(R:R,P:P,"*/03/2026")+SUMIFS(S:S,P:P,"*/03/2026")+SUMIFS(T:T,P:P,"*/03/2026")),"")</f>
        <v>0.16912482579241164</v>
      </c>
      <c r="L4" s="1">
        <f>IFERROR(SUMIFS(R:R,P:P,"*/03/2026")/(SUMIFS(R:R,P:P,"*/03/2026")+SUMIFS(S:S,P:P,"*/03/2026")+SUMIFS(T:T,P:P,"*/03/2026")),"")</f>
        <v>0.18562517234440562</v>
      </c>
      <c r="M4" s="1">
        <f>IFERROR(SUMIFS(T:T,P:P,"*/03/2026")/(SUMIFS(R:R,P:P,"*/03/2026")+SUMIFS(S:S,P:P,"*/03/2026")+SUMIFS(T:T,P:P,"*/03/2026")),"")</f>
        <v>0.64525000186318271</v>
      </c>
      <c r="O4">
        <v>3</v>
      </c>
      <c r="P4" t="s">
        <v>41</v>
      </c>
      <c r="Q4" t="s">
        <v>34</v>
      </c>
      <c r="R4">
        <v>632</v>
      </c>
      <c r="S4">
        <v>497</v>
      </c>
      <c r="T4">
        <v>1047</v>
      </c>
    </row>
    <row r="5" spans="1:20" x14ac:dyDescent="0.3">
      <c r="A5">
        <v>4</v>
      </c>
      <c r="B5" t="s">
        <v>39</v>
      </c>
      <c r="C5" t="s">
        <v>37</v>
      </c>
      <c r="D5">
        <v>893</v>
      </c>
      <c r="E5">
        <v>769</v>
      </c>
      <c r="F5">
        <v>519</v>
      </c>
      <c r="H5" t="s">
        <v>42</v>
      </c>
      <c r="I5" s="1">
        <v>0.27450980392156871</v>
      </c>
      <c r="J5" s="1">
        <v>0.28245614035087718</v>
      </c>
      <c r="K5" s="1">
        <f>IFERROR(SUMIFS(S:S,P:P,"*/04/2026")/(SUMIFS(R:R,P:P,"*/04/2026")+SUMIFS(S:S,P:P,"*/04/2026")+SUMIFS(T:T,P:P,"*/04/2026")),"")</f>
        <v>0.16595233881454921</v>
      </c>
      <c r="L5" s="1">
        <f>IFERROR(SUMIFS(R:R,P:P,"*/04/2026")/(SUMIFS(R:R,P:P,"*/04/2026")+SUMIFS(S:S,P:P,"*/04/2026")+SUMIFS(T:T,P:P,"*/04/2026")),"")</f>
        <v>0.16375164474949791</v>
      </c>
      <c r="M5" s="1">
        <f>IFERROR(SUMIFS(T:T,P:P,"*/04/2026")/(SUMIFS(R:R,P:P,"*/04/2026")+SUMIFS(S:S,P:P,"*/04/2026")+SUMIFS(T:T,P:P,"*/04/2026")),"")</f>
        <v>0.67029601643595282</v>
      </c>
      <c r="O5">
        <v>4</v>
      </c>
      <c r="P5" t="s">
        <v>41</v>
      </c>
      <c r="Q5" t="s">
        <v>37</v>
      </c>
      <c r="R5">
        <v>392</v>
      </c>
      <c r="S5">
        <v>255</v>
      </c>
      <c r="T5">
        <v>1516</v>
      </c>
    </row>
    <row r="6" spans="1:20" x14ac:dyDescent="0.3">
      <c r="A6">
        <v>5</v>
      </c>
      <c r="B6" t="s">
        <v>43</v>
      </c>
      <c r="C6" t="s">
        <v>34</v>
      </c>
      <c r="D6">
        <v>334</v>
      </c>
      <c r="E6">
        <v>460</v>
      </c>
      <c r="F6">
        <v>1369</v>
      </c>
      <c r="H6" t="s">
        <v>44</v>
      </c>
      <c r="I6" s="1">
        <v>0.27450980392156871</v>
      </c>
      <c r="J6" s="1">
        <v>0.28245614035087718</v>
      </c>
      <c r="K6" s="1">
        <f>IFERROR(SUMIFS(S:S,P:P,"*/05/2026")/(SUMIFS(R:R,P:P,"*/05/2026")+SUMIFS(S:S,P:P,"*/05/2026")+SUMIFS(T:T,P:P,"*/05/2026")),"")</f>
        <v>0.17378898276041899</v>
      </c>
      <c r="L6" s="1">
        <f>IFERROR(SUMIFS(R:R,P:P,"*/05/2026")/(SUMIFS(R:R,P:P,"*/05/2026")+SUMIFS(S:S,P:P,"*/05/2026")+SUMIFS(T:T,P:P,"*/05/2026")),"")</f>
        <v>0.15971570336596486</v>
      </c>
      <c r="M6" s="1">
        <f>IFERROR(SUMIFS(T:T,P:P,"*/05/2026")/(SUMIFS(R:R,P:P,"*/05/2026")+SUMIFS(S:S,P:P,"*/05/2026")+SUMIFS(T:T,P:P,"*/05/2026")),"")</f>
        <v>0.66649531387361616</v>
      </c>
      <c r="O6">
        <v>5</v>
      </c>
      <c r="P6" t="s">
        <v>45</v>
      </c>
      <c r="Q6" t="s">
        <v>37</v>
      </c>
      <c r="R6">
        <v>940</v>
      </c>
      <c r="S6">
        <v>742</v>
      </c>
      <c r="T6">
        <v>1847</v>
      </c>
    </row>
    <row r="7" spans="1:20" x14ac:dyDescent="0.3">
      <c r="A7">
        <v>6</v>
      </c>
      <c r="B7" t="s">
        <v>43</v>
      </c>
      <c r="C7" t="s">
        <v>37</v>
      </c>
      <c r="D7">
        <v>966</v>
      </c>
      <c r="E7">
        <v>721</v>
      </c>
      <c r="F7">
        <v>495</v>
      </c>
      <c r="H7" t="s">
        <v>46</v>
      </c>
      <c r="I7" s="1">
        <v>0.27450980392156871</v>
      </c>
      <c r="J7" s="1">
        <v>0.28245614035087718</v>
      </c>
      <c r="K7" s="1">
        <f>IFERROR(SUMIFS(S:S,P:P,"*/06/2026")/(SUMIFS(R:R,P:P,"*/06/2026")+SUMIFS(S:S,P:P,"*/06/2026")+SUMIFS(T:T,P:P,"*/06/2026")),"")</f>
        <v>0.22466026220198035</v>
      </c>
      <c r="L7" s="1">
        <f>IFERROR(SUMIFS(R:R,P:P,"*/06/2026")/(SUMIFS(R:R,P:P,"*/06/2026")+SUMIFS(S:S,P:P,"*/06/2026")+SUMIFS(T:T,P:P,"*/06/2026")),"")</f>
        <v>0.2292700016595062</v>
      </c>
      <c r="M7" s="1">
        <f>IFERROR(SUMIFS(T:T,P:P,"*/06/2026")/(SUMIFS(R:R,P:P,"*/06/2026")+SUMIFS(S:S,P:P,"*/06/2026")+SUMIFS(T:T,P:P,"*/06/2026")),"")</f>
        <v>0.54606973613851351</v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286</v>
      </c>
      <c r="E8">
        <v>549</v>
      </c>
      <c r="F8">
        <v>1331</v>
      </c>
      <c r="H8" t="s">
        <v>49</v>
      </c>
      <c r="I8" s="1">
        <v>0.27450980392156871</v>
      </c>
      <c r="J8" s="1">
        <v>0.28245614035087718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877</v>
      </c>
      <c r="E9">
        <v>803</v>
      </c>
      <c r="F9">
        <v>496</v>
      </c>
      <c r="H9" t="s">
        <v>50</v>
      </c>
      <c r="I9" s="1">
        <v>0.27450980392156871</v>
      </c>
      <c r="J9" s="1">
        <v>0.28245614035087718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735</v>
      </c>
      <c r="S9">
        <v>308</v>
      </c>
      <c r="T9">
        <v>1124</v>
      </c>
    </row>
    <row r="10" spans="1:20" x14ac:dyDescent="0.3">
      <c r="A10">
        <v>9</v>
      </c>
      <c r="B10" t="s">
        <v>52</v>
      </c>
      <c r="C10" t="s">
        <v>34</v>
      </c>
      <c r="D10">
        <v>30</v>
      </c>
      <c r="E10">
        <v>380</v>
      </c>
      <c r="F10">
        <v>1754</v>
      </c>
      <c r="H10" t="s">
        <v>53</v>
      </c>
      <c r="I10" s="1">
        <v>0.27450980392156871</v>
      </c>
      <c r="J10" s="1">
        <v>0.28245614035087718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357</v>
      </c>
      <c r="S10">
        <v>398</v>
      </c>
      <c r="T10">
        <v>1387</v>
      </c>
    </row>
    <row r="11" spans="1:20" x14ac:dyDescent="0.3">
      <c r="A11">
        <v>10</v>
      </c>
      <c r="B11" t="s">
        <v>52</v>
      </c>
      <c r="C11" t="s">
        <v>37</v>
      </c>
      <c r="D11">
        <v>945</v>
      </c>
      <c r="E11">
        <v>674</v>
      </c>
      <c r="F11">
        <v>556</v>
      </c>
      <c r="H11" t="s">
        <v>54</v>
      </c>
      <c r="I11" s="1">
        <v>0.27450980392156871</v>
      </c>
      <c r="J11" s="1">
        <v>0.28245614035087718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616</v>
      </c>
      <c r="S11">
        <v>394</v>
      </c>
      <c r="T11">
        <v>1159</v>
      </c>
    </row>
    <row r="12" spans="1:20" x14ac:dyDescent="0.3">
      <c r="A12">
        <v>11</v>
      </c>
      <c r="B12" t="s">
        <v>56</v>
      </c>
      <c r="C12" t="s">
        <v>34</v>
      </c>
      <c r="D12">
        <v>11</v>
      </c>
      <c r="E12">
        <v>166</v>
      </c>
      <c r="F12">
        <v>1985</v>
      </c>
      <c r="H12" t="s">
        <v>57</v>
      </c>
      <c r="I12" s="1">
        <v>0.27450980392156871</v>
      </c>
      <c r="J12" s="1">
        <v>0.28245614035087718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359</v>
      </c>
      <c r="S12">
        <v>380</v>
      </c>
      <c r="T12">
        <v>1429</v>
      </c>
    </row>
    <row r="13" spans="1:20" x14ac:dyDescent="0.3">
      <c r="A13">
        <v>12</v>
      </c>
      <c r="B13" t="s">
        <v>56</v>
      </c>
      <c r="C13" t="s">
        <v>37</v>
      </c>
      <c r="D13">
        <v>515</v>
      </c>
      <c r="E13">
        <v>439</v>
      </c>
      <c r="F13">
        <v>1220</v>
      </c>
      <c r="H13" t="s">
        <v>58</v>
      </c>
      <c r="I13" s="1">
        <v>0.27450980392156871</v>
      </c>
      <c r="J13" s="1">
        <v>0.28245614035087718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179</v>
      </c>
      <c r="S13">
        <v>181</v>
      </c>
      <c r="T13">
        <v>1800</v>
      </c>
    </row>
    <row r="14" spans="1:20" x14ac:dyDescent="0.3">
      <c r="A14">
        <v>13</v>
      </c>
      <c r="B14" t="s">
        <v>60</v>
      </c>
      <c r="C14" t="s">
        <v>34</v>
      </c>
      <c r="D14">
        <v>0</v>
      </c>
      <c r="E14">
        <v>0</v>
      </c>
      <c r="F14">
        <v>2160</v>
      </c>
      <c r="H14" t="str">
        <f>IF(B2="","",TEXT(B2,"dd/mm")&amp; "-" &amp;IF(UPPER(TRIM(C2))="CN",1,IF(UPPER(TRIM(C2))="CD",2,"")))</f>
        <v>01/06-1</v>
      </c>
      <c r="I14" s="1">
        <v>0.27450980392156871</v>
      </c>
      <c r="J14" s="1">
        <v>0.28245614035087718</v>
      </c>
      <c r="K14" s="1">
        <f t="shared" ref="K14:K45" si="0">IFERROR($E2/SUM($D2:$F2),"")</f>
        <v>0.15416666666666667</v>
      </c>
      <c r="L14" s="1">
        <f t="shared" ref="L14:L45" si="1">IFERROR($D2/SUM($D2:$F2),"")</f>
        <v>0.16574074074074074</v>
      </c>
      <c r="M14" s="1">
        <f t="shared" ref="M14:M45" si="2">IFERROR($F2/SUM($D2:$F2),"")</f>
        <v>0.68009259259259258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0</v>
      </c>
      <c r="E15">
        <v>0</v>
      </c>
      <c r="F15">
        <v>2160</v>
      </c>
      <c r="H15" t="str">
        <f t="shared" ref="H15:H46" si="3">IF(B3="","",TEXT(B3,"dd/mm") &amp; "-" &amp; IF(UPPER(TRIM(C3))="CN",1,IF(UPPER(TRIM(C3))="CD",2,"")))</f>
        <v>01/06-2</v>
      </c>
      <c r="I15" s="1">
        <v>0.27450980392156871</v>
      </c>
      <c r="J15" s="1">
        <v>0.28245614035087718</v>
      </c>
      <c r="K15" s="1">
        <f t="shared" si="0"/>
        <v>0.26917776757005052</v>
      </c>
      <c r="L15" s="1">
        <f t="shared" si="1"/>
        <v>0.44464859898943498</v>
      </c>
      <c r="M15" s="1">
        <f t="shared" si="2"/>
        <v>0.2861736334405145</v>
      </c>
      <c r="O15">
        <v>14</v>
      </c>
      <c r="P15" t="s">
        <v>61</v>
      </c>
      <c r="Q15" t="s">
        <v>34</v>
      </c>
      <c r="R15">
        <v>1056</v>
      </c>
      <c r="S15">
        <v>378</v>
      </c>
      <c r="T15">
        <v>747</v>
      </c>
    </row>
    <row r="16" spans="1:20" x14ac:dyDescent="0.3">
      <c r="A16">
        <v>15</v>
      </c>
      <c r="B16" t="s">
        <v>62</v>
      </c>
      <c r="C16" t="s">
        <v>34</v>
      </c>
      <c r="D16">
        <v>823</v>
      </c>
      <c r="E16">
        <v>683</v>
      </c>
      <c r="F16">
        <v>666</v>
      </c>
      <c r="H16" t="str">
        <f t="shared" si="3"/>
        <v>02/06-1</v>
      </c>
      <c r="I16" s="1">
        <v>0.27450980392156871</v>
      </c>
      <c r="J16" s="1">
        <v>0.28245614035087718</v>
      </c>
      <c r="K16" s="1">
        <f t="shared" si="0"/>
        <v>0.22181146025878004</v>
      </c>
      <c r="L16" s="1">
        <f t="shared" si="1"/>
        <v>0.15619223659889095</v>
      </c>
      <c r="M16" s="1">
        <f t="shared" si="2"/>
        <v>0.62199630314232901</v>
      </c>
      <c r="O16">
        <v>15</v>
      </c>
      <c r="P16" t="s">
        <v>61</v>
      </c>
      <c r="Q16" t="s">
        <v>37</v>
      </c>
      <c r="R16">
        <v>599</v>
      </c>
      <c r="S16">
        <v>449</v>
      </c>
      <c r="T16">
        <v>1117</v>
      </c>
    </row>
    <row r="17" spans="1:20" x14ac:dyDescent="0.3">
      <c r="A17">
        <v>16</v>
      </c>
      <c r="B17" t="s">
        <v>62</v>
      </c>
      <c r="C17" t="s">
        <v>37</v>
      </c>
      <c r="D17">
        <v>290</v>
      </c>
      <c r="E17">
        <v>470</v>
      </c>
      <c r="F17">
        <v>1405</v>
      </c>
      <c r="H17" t="str">
        <f t="shared" si="3"/>
        <v>02/06-2</v>
      </c>
      <c r="I17" s="1">
        <v>0.27450980392156871</v>
      </c>
      <c r="J17" s="1">
        <v>0.28245614035087718</v>
      </c>
      <c r="K17" s="1">
        <f t="shared" si="0"/>
        <v>0.35259055479138013</v>
      </c>
      <c r="L17" s="1">
        <f t="shared" si="1"/>
        <v>0.40944520861989914</v>
      </c>
      <c r="M17" s="1">
        <f t="shared" si="2"/>
        <v>0.23796423658872076</v>
      </c>
      <c r="O17">
        <v>16</v>
      </c>
      <c r="P17" t="s">
        <v>63</v>
      </c>
      <c r="Q17" t="s">
        <v>34</v>
      </c>
      <c r="R17">
        <v>574</v>
      </c>
      <c r="S17">
        <v>323</v>
      </c>
      <c r="T17">
        <v>1276</v>
      </c>
    </row>
    <row r="18" spans="1:20" x14ac:dyDescent="0.3">
      <c r="A18">
        <v>17</v>
      </c>
      <c r="B18" t="s">
        <v>64</v>
      </c>
      <c r="C18" t="s">
        <v>34</v>
      </c>
      <c r="D18">
        <v>545</v>
      </c>
      <c r="E18">
        <v>455</v>
      </c>
      <c r="F18">
        <v>1178</v>
      </c>
      <c r="H18" t="str">
        <f t="shared" si="3"/>
        <v>03/06-1</v>
      </c>
      <c r="I18" s="1">
        <v>0.27450980392156871</v>
      </c>
      <c r="J18" s="1">
        <v>0.28245614035087718</v>
      </c>
      <c r="K18" s="1">
        <f t="shared" si="0"/>
        <v>0.21266759130836801</v>
      </c>
      <c r="L18" s="1">
        <f t="shared" si="1"/>
        <v>0.15441516412390199</v>
      </c>
      <c r="M18" s="1">
        <f t="shared" si="2"/>
        <v>0.63291724456773002</v>
      </c>
      <c r="O18">
        <v>17</v>
      </c>
      <c r="P18" t="s">
        <v>63</v>
      </c>
      <c r="Q18" t="s">
        <v>37</v>
      </c>
      <c r="R18">
        <v>312</v>
      </c>
      <c r="S18">
        <v>422</v>
      </c>
      <c r="T18">
        <v>1434</v>
      </c>
    </row>
    <row r="19" spans="1:20" x14ac:dyDescent="0.3">
      <c r="A19">
        <v>18</v>
      </c>
      <c r="B19" t="s">
        <v>64</v>
      </c>
      <c r="C19" t="s">
        <v>37</v>
      </c>
      <c r="D19">
        <v>299</v>
      </c>
      <c r="E19">
        <v>473</v>
      </c>
      <c r="F19">
        <v>1396</v>
      </c>
      <c r="H19" t="str">
        <f t="shared" si="3"/>
        <v>03/06-2</v>
      </c>
      <c r="I19" s="1">
        <v>0.27450980392156871</v>
      </c>
      <c r="J19" s="1">
        <v>0.28245614035087718</v>
      </c>
      <c r="K19" s="1">
        <f t="shared" si="0"/>
        <v>0.3304307974335472</v>
      </c>
      <c r="L19" s="1">
        <f t="shared" si="1"/>
        <v>0.44271310724106322</v>
      </c>
      <c r="M19" s="1">
        <f t="shared" si="2"/>
        <v>0.22685609532538956</v>
      </c>
      <c r="O19">
        <v>18</v>
      </c>
      <c r="P19" t="s">
        <v>65</v>
      </c>
      <c r="Q19" t="s">
        <v>34</v>
      </c>
      <c r="R19">
        <v>676</v>
      </c>
      <c r="S19">
        <v>311</v>
      </c>
      <c r="T19">
        <v>1181</v>
      </c>
    </row>
    <row r="20" spans="1:20" x14ac:dyDescent="0.3">
      <c r="A20">
        <v>19</v>
      </c>
      <c r="B20" t="s">
        <v>66</v>
      </c>
      <c r="C20" t="s">
        <v>34</v>
      </c>
      <c r="D20">
        <v>873</v>
      </c>
      <c r="E20">
        <v>620</v>
      </c>
      <c r="F20">
        <v>681</v>
      </c>
      <c r="H20" t="str">
        <f t="shared" si="3"/>
        <v>04/06-1</v>
      </c>
      <c r="I20" s="1">
        <v>0.27450980392156871</v>
      </c>
      <c r="J20" s="1">
        <v>0.28245614035087718</v>
      </c>
      <c r="K20" s="1">
        <f t="shared" si="0"/>
        <v>0.25346260387811637</v>
      </c>
      <c r="L20" s="1">
        <f t="shared" si="1"/>
        <v>0.13204062788550322</v>
      </c>
      <c r="M20" s="1">
        <f t="shared" si="2"/>
        <v>0.61449676823638044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2160</v>
      </c>
    </row>
    <row r="21" spans="1:20" x14ac:dyDescent="0.3">
      <c r="A21">
        <v>20</v>
      </c>
      <c r="B21" t="s">
        <v>66</v>
      </c>
      <c r="C21" t="s">
        <v>37</v>
      </c>
      <c r="D21">
        <v>337</v>
      </c>
      <c r="E21">
        <v>658</v>
      </c>
      <c r="F21">
        <v>1172</v>
      </c>
      <c r="H21" t="str">
        <f t="shared" si="3"/>
        <v>04/06-2</v>
      </c>
      <c r="I21" s="1">
        <v>0.27450980392156871</v>
      </c>
      <c r="J21" s="1">
        <v>0.28245614035087718</v>
      </c>
      <c r="K21" s="1">
        <f t="shared" si="0"/>
        <v>0.36902573529411764</v>
      </c>
      <c r="L21" s="1">
        <f t="shared" si="1"/>
        <v>0.4030330882352941</v>
      </c>
      <c r="M21" s="1">
        <f t="shared" si="2"/>
        <v>0.22794117647058823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A22">
        <v>21</v>
      </c>
      <c r="B22" t="s">
        <v>68</v>
      </c>
      <c r="C22" t="s">
        <v>34</v>
      </c>
      <c r="D22">
        <v>645</v>
      </c>
      <c r="E22">
        <v>438</v>
      </c>
      <c r="F22">
        <v>1088</v>
      </c>
      <c r="H22" t="str">
        <f t="shared" si="3"/>
        <v>05/06-1</v>
      </c>
      <c r="I22" s="1">
        <v>0.27450980392156871</v>
      </c>
      <c r="J22" s="1">
        <v>0.28245614035087718</v>
      </c>
      <c r="K22" s="1">
        <f t="shared" si="0"/>
        <v>0.1756007393715342</v>
      </c>
      <c r="L22" s="1">
        <f t="shared" si="1"/>
        <v>1.3863216266173753E-2</v>
      </c>
      <c r="M22" s="1">
        <f t="shared" si="2"/>
        <v>0.8105360443622921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2160</v>
      </c>
    </row>
    <row r="23" spans="1:20" x14ac:dyDescent="0.3">
      <c r="A23">
        <v>22</v>
      </c>
      <c r="B23" t="s">
        <v>68</v>
      </c>
      <c r="C23" t="s">
        <v>37</v>
      </c>
      <c r="D23">
        <v>322</v>
      </c>
      <c r="E23">
        <v>585</v>
      </c>
      <c r="F23">
        <v>1259</v>
      </c>
      <c r="H23" t="str">
        <f t="shared" si="3"/>
        <v>05/06-2</v>
      </c>
      <c r="I23" s="1">
        <v>0.27450980392156871</v>
      </c>
      <c r="J23" s="1">
        <v>0.28245614035087718</v>
      </c>
      <c r="K23" s="1">
        <f t="shared" si="0"/>
        <v>0.30988505747126438</v>
      </c>
      <c r="L23" s="1">
        <f t="shared" si="1"/>
        <v>0.43448275862068964</v>
      </c>
      <c r="M23" s="1">
        <f t="shared" si="2"/>
        <v>0.25563218390804598</v>
      </c>
      <c r="O23">
        <v>22</v>
      </c>
      <c r="P23" t="s">
        <v>69</v>
      </c>
      <c r="Q23" t="s">
        <v>34</v>
      </c>
      <c r="R23">
        <v>325</v>
      </c>
      <c r="S23">
        <v>364</v>
      </c>
      <c r="T23">
        <v>1475</v>
      </c>
    </row>
    <row r="24" spans="1:20" x14ac:dyDescent="0.3">
      <c r="A24">
        <v>23</v>
      </c>
      <c r="B24" t="s">
        <v>70</v>
      </c>
      <c r="C24" t="s">
        <v>34</v>
      </c>
      <c r="D24">
        <v>632</v>
      </c>
      <c r="E24">
        <v>482</v>
      </c>
      <c r="F24">
        <v>1053</v>
      </c>
      <c r="H24" t="str">
        <f t="shared" si="3"/>
        <v>06/06-1</v>
      </c>
      <c r="I24" s="1">
        <v>0.27450980392156871</v>
      </c>
      <c r="J24" s="1">
        <v>0.28245614035087718</v>
      </c>
      <c r="K24" s="1">
        <f t="shared" si="0"/>
        <v>7.6780758556891773E-2</v>
      </c>
      <c r="L24" s="1">
        <f t="shared" si="1"/>
        <v>5.0878815911193339E-3</v>
      </c>
      <c r="M24" s="1">
        <f t="shared" si="2"/>
        <v>0.9181313598519889</v>
      </c>
      <c r="O24">
        <v>23</v>
      </c>
      <c r="P24" t="s">
        <v>69</v>
      </c>
      <c r="Q24" t="s">
        <v>37</v>
      </c>
      <c r="R24">
        <v>692</v>
      </c>
      <c r="S24">
        <v>396</v>
      </c>
      <c r="T24">
        <v>1086</v>
      </c>
    </row>
    <row r="25" spans="1:20" x14ac:dyDescent="0.3">
      <c r="A25">
        <v>24</v>
      </c>
      <c r="B25" t="s">
        <v>70</v>
      </c>
      <c r="C25" t="s">
        <v>37</v>
      </c>
      <c r="D25">
        <v>276</v>
      </c>
      <c r="E25">
        <v>357</v>
      </c>
      <c r="F25">
        <v>1534</v>
      </c>
      <c r="H25" t="str">
        <f t="shared" si="3"/>
        <v>06/06-2</v>
      </c>
      <c r="I25" s="1">
        <v>0.27450980392156871</v>
      </c>
      <c r="J25" s="1">
        <v>0.28245614035087718</v>
      </c>
      <c r="K25" s="1">
        <f t="shared" si="0"/>
        <v>0.20193192272309107</v>
      </c>
      <c r="L25" s="1">
        <f t="shared" si="1"/>
        <v>0.23689052437902483</v>
      </c>
      <c r="M25" s="1">
        <f t="shared" si="2"/>
        <v>0.56117755289788407</v>
      </c>
      <c r="O25">
        <v>24</v>
      </c>
      <c r="P25" t="s">
        <v>71</v>
      </c>
      <c r="Q25" t="s">
        <v>34</v>
      </c>
      <c r="R25">
        <v>298</v>
      </c>
      <c r="S25">
        <v>356</v>
      </c>
      <c r="T25">
        <v>1512</v>
      </c>
    </row>
    <row r="26" spans="1:20" x14ac:dyDescent="0.3">
      <c r="A26">
        <v>25</v>
      </c>
      <c r="B26" t="s">
        <v>72</v>
      </c>
      <c r="C26" t="s">
        <v>34</v>
      </c>
      <c r="D26">
        <v>871</v>
      </c>
      <c r="E26">
        <v>603</v>
      </c>
      <c r="F26">
        <v>700</v>
      </c>
      <c r="H26" t="str">
        <f t="shared" si="3"/>
        <v>07/06-1</v>
      </c>
      <c r="I26" s="1">
        <v>0.27450980392156871</v>
      </c>
      <c r="J26" s="1">
        <v>0.28245614035087718</v>
      </c>
      <c r="K26" s="1">
        <f t="shared" si="0"/>
        <v>0</v>
      </c>
      <c r="L26" s="1">
        <f t="shared" si="1"/>
        <v>0</v>
      </c>
      <c r="M26" s="1">
        <f t="shared" si="2"/>
        <v>1</v>
      </c>
      <c r="O26">
        <v>25</v>
      </c>
      <c r="P26" t="s">
        <v>71</v>
      </c>
      <c r="Q26" t="s">
        <v>37</v>
      </c>
      <c r="R26">
        <v>737</v>
      </c>
      <c r="S26">
        <v>392</v>
      </c>
      <c r="T26">
        <v>1047</v>
      </c>
    </row>
    <row r="27" spans="1:20" x14ac:dyDescent="0.3">
      <c r="H27" t="str">
        <f t="shared" si="3"/>
        <v>07/06-2</v>
      </c>
      <c r="I27" s="1">
        <v>0.27450980392156871</v>
      </c>
      <c r="J27" s="1">
        <v>0.28245614035087718</v>
      </c>
      <c r="K27" s="1">
        <f t="shared" si="0"/>
        <v>0</v>
      </c>
      <c r="L27" s="1">
        <f t="shared" si="1"/>
        <v>0</v>
      </c>
      <c r="M27" s="1">
        <f t="shared" si="2"/>
        <v>1</v>
      </c>
      <c r="O27">
        <v>26</v>
      </c>
      <c r="P27" t="s">
        <v>73</v>
      </c>
      <c r="Q27" t="s">
        <v>34</v>
      </c>
      <c r="R27">
        <v>313</v>
      </c>
      <c r="S27">
        <v>399</v>
      </c>
      <c r="T27">
        <v>1455</v>
      </c>
    </row>
    <row r="28" spans="1:20" x14ac:dyDescent="0.3">
      <c r="H28" t="str">
        <f t="shared" si="3"/>
        <v>08/06-1</v>
      </c>
      <c r="I28" s="1">
        <v>0.27450980392156871</v>
      </c>
      <c r="J28" s="1">
        <v>0.28245614035087718</v>
      </c>
      <c r="K28" s="1">
        <f t="shared" si="0"/>
        <v>0.31445672191528545</v>
      </c>
      <c r="L28" s="1">
        <f t="shared" si="1"/>
        <v>0.37891344383057091</v>
      </c>
      <c r="M28" s="1">
        <f t="shared" si="2"/>
        <v>0.30662983425414364</v>
      </c>
      <c r="O28">
        <v>27</v>
      </c>
      <c r="P28" t="s">
        <v>73</v>
      </c>
      <c r="Q28" t="s">
        <v>37</v>
      </c>
      <c r="R28">
        <v>781</v>
      </c>
      <c r="S28">
        <v>389</v>
      </c>
      <c r="T28">
        <v>1001</v>
      </c>
    </row>
    <row r="29" spans="1:20" x14ac:dyDescent="0.3">
      <c r="H29" t="str">
        <f t="shared" si="3"/>
        <v>08/06-2</v>
      </c>
      <c r="I29" s="1">
        <v>0.27450980392156871</v>
      </c>
      <c r="J29" s="1">
        <v>0.28245614035087718</v>
      </c>
      <c r="K29" s="1">
        <f t="shared" si="0"/>
        <v>0.21709006928406466</v>
      </c>
      <c r="L29" s="1">
        <f t="shared" si="1"/>
        <v>0.13394919168591224</v>
      </c>
      <c r="M29" s="1">
        <f t="shared" si="2"/>
        <v>0.64896073903002305</v>
      </c>
      <c r="O29">
        <v>28</v>
      </c>
      <c r="P29" t="s">
        <v>74</v>
      </c>
      <c r="Q29" t="s">
        <v>34</v>
      </c>
      <c r="R29">
        <v>293</v>
      </c>
      <c r="S29">
        <v>398</v>
      </c>
      <c r="T29">
        <v>1475</v>
      </c>
    </row>
    <row r="30" spans="1:20" x14ac:dyDescent="0.3">
      <c r="H30" t="str">
        <f t="shared" si="3"/>
        <v>09/06-1</v>
      </c>
      <c r="I30" s="1">
        <v>0.27450980392156871</v>
      </c>
      <c r="J30" s="1">
        <v>0.28245614035087718</v>
      </c>
      <c r="K30" s="1">
        <f t="shared" si="0"/>
        <v>0.20890725436179983</v>
      </c>
      <c r="L30" s="1">
        <f t="shared" si="1"/>
        <v>0.2502295684113866</v>
      </c>
      <c r="M30" s="1">
        <f t="shared" si="2"/>
        <v>0.54086317722681354</v>
      </c>
      <c r="O30">
        <v>29</v>
      </c>
      <c r="P30" t="s">
        <v>74</v>
      </c>
      <c r="Q30" t="s">
        <v>37</v>
      </c>
      <c r="R30">
        <v>667</v>
      </c>
      <c r="S30">
        <v>432</v>
      </c>
      <c r="T30">
        <v>1071</v>
      </c>
    </row>
    <row r="31" spans="1:20" x14ac:dyDescent="0.3">
      <c r="H31" t="str">
        <f t="shared" si="3"/>
        <v>09/06-2</v>
      </c>
      <c r="I31" s="1">
        <v>0.27450980392156871</v>
      </c>
      <c r="J31" s="1">
        <v>0.28245614035087718</v>
      </c>
      <c r="K31" s="1">
        <f t="shared" si="0"/>
        <v>0.21817343173431733</v>
      </c>
      <c r="L31" s="1">
        <f t="shared" si="1"/>
        <v>0.1379151291512915</v>
      </c>
      <c r="M31" s="1">
        <f t="shared" si="2"/>
        <v>0.64391143911439119</v>
      </c>
      <c r="O31">
        <v>30</v>
      </c>
      <c r="P31" t="s">
        <v>75</v>
      </c>
      <c r="Q31" t="s">
        <v>34</v>
      </c>
      <c r="R31">
        <v>308</v>
      </c>
      <c r="S31">
        <v>384</v>
      </c>
      <c r="T31">
        <v>1474</v>
      </c>
    </row>
    <row r="32" spans="1:20" x14ac:dyDescent="0.3">
      <c r="H32" t="str">
        <f t="shared" si="3"/>
        <v>10/06-1</v>
      </c>
      <c r="I32" s="1">
        <v>0.27450980392156871</v>
      </c>
      <c r="J32" s="1">
        <v>0.28245614035087718</v>
      </c>
      <c r="K32" s="1">
        <f t="shared" si="0"/>
        <v>0.28518859245630174</v>
      </c>
      <c r="L32" s="1">
        <f t="shared" si="1"/>
        <v>0.40156393744250229</v>
      </c>
      <c r="M32" s="1">
        <f t="shared" si="2"/>
        <v>0.31324747010119597</v>
      </c>
      <c r="O32">
        <v>31</v>
      </c>
      <c r="P32" t="s">
        <v>75</v>
      </c>
      <c r="Q32" t="s">
        <v>37</v>
      </c>
      <c r="R32">
        <v>589</v>
      </c>
      <c r="S32">
        <v>361</v>
      </c>
      <c r="T32">
        <v>1216</v>
      </c>
    </row>
    <row r="33" spans="8:20" x14ac:dyDescent="0.3">
      <c r="H33" t="str">
        <f t="shared" si="3"/>
        <v>10/06-2</v>
      </c>
      <c r="I33" s="1">
        <v>0.27450980392156871</v>
      </c>
      <c r="J33" s="1">
        <v>0.28245614035087718</v>
      </c>
      <c r="K33" s="1">
        <f t="shared" si="0"/>
        <v>0.30364559298569449</v>
      </c>
      <c r="L33" s="1">
        <f t="shared" si="1"/>
        <v>0.15551453622519612</v>
      </c>
      <c r="M33" s="1">
        <f t="shared" si="2"/>
        <v>0.54083987078910933</v>
      </c>
      <c r="O33">
        <v>32</v>
      </c>
      <c r="P33" t="s">
        <v>76</v>
      </c>
      <c r="Q33" t="s">
        <v>34</v>
      </c>
      <c r="R33">
        <v>571</v>
      </c>
      <c r="S33">
        <v>400</v>
      </c>
      <c r="T33">
        <v>1193</v>
      </c>
    </row>
    <row r="34" spans="8:20" x14ac:dyDescent="0.3">
      <c r="H34" t="str">
        <f t="shared" si="3"/>
        <v>11/06-1</v>
      </c>
      <c r="I34" s="1">
        <v>0.27450980392156871</v>
      </c>
      <c r="J34" s="1">
        <v>0.28245614035087718</v>
      </c>
      <c r="K34" s="1">
        <f t="shared" si="0"/>
        <v>0.20175034546292031</v>
      </c>
      <c r="L34" s="1">
        <f t="shared" si="1"/>
        <v>0.29709811146936893</v>
      </c>
      <c r="M34" s="1">
        <f t="shared" si="2"/>
        <v>0.5011515430677107</v>
      </c>
      <c r="O34">
        <v>33</v>
      </c>
      <c r="P34" t="s">
        <v>76</v>
      </c>
      <c r="Q34" t="s">
        <v>37</v>
      </c>
      <c r="R34">
        <v>529</v>
      </c>
      <c r="S34">
        <v>351</v>
      </c>
      <c r="T34">
        <v>1289</v>
      </c>
    </row>
    <row r="35" spans="8:20" x14ac:dyDescent="0.3">
      <c r="H35" t="str">
        <f t="shared" si="3"/>
        <v>11/06-2</v>
      </c>
      <c r="I35" s="1">
        <v>0.27450980392156871</v>
      </c>
      <c r="J35" s="1">
        <v>0.28245614035087718</v>
      </c>
      <c r="K35" s="1">
        <f t="shared" si="0"/>
        <v>0.27008310249307477</v>
      </c>
      <c r="L35" s="1">
        <f t="shared" si="1"/>
        <v>0.14866112650046168</v>
      </c>
      <c r="M35" s="1">
        <f t="shared" si="2"/>
        <v>0.58125577100646353</v>
      </c>
      <c r="O35">
        <v>34</v>
      </c>
      <c r="P35" t="s">
        <v>77</v>
      </c>
      <c r="Q35" t="s">
        <v>34</v>
      </c>
      <c r="R35">
        <v>0</v>
      </c>
      <c r="S35">
        <v>0</v>
      </c>
      <c r="T35">
        <v>2160</v>
      </c>
    </row>
    <row r="36" spans="8:20" x14ac:dyDescent="0.3">
      <c r="H36" t="str">
        <f t="shared" si="3"/>
        <v>12/06-1</v>
      </c>
      <c r="I36" s="1">
        <v>0.27450980392156871</v>
      </c>
      <c r="J36" s="1">
        <v>0.28245614035087718</v>
      </c>
      <c r="K36" s="1">
        <f t="shared" si="0"/>
        <v>0.22242731887401937</v>
      </c>
      <c r="L36" s="1">
        <f t="shared" si="1"/>
        <v>0.29164743885556066</v>
      </c>
      <c r="M36" s="1">
        <f t="shared" si="2"/>
        <v>0.48592524227041994</v>
      </c>
      <c r="O36">
        <v>35</v>
      </c>
      <c r="P36" t="s">
        <v>77</v>
      </c>
      <c r="Q36" t="s">
        <v>37</v>
      </c>
      <c r="R36">
        <v>1</v>
      </c>
      <c r="S36">
        <v>2</v>
      </c>
      <c r="T36">
        <v>2156</v>
      </c>
    </row>
    <row r="37" spans="8:20" x14ac:dyDescent="0.3">
      <c r="H37" t="str">
        <f t="shared" si="3"/>
        <v>12/06-2</v>
      </c>
      <c r="I37" s="1">
        <v>0.27450980392156871</v>
      </c>
      <c r="J37" s="1">
        <v>0.28245614035087718</v>
      </c>
      <c r="K37" s="1">
        <f t="shared" si="0"/>
        <v>0.16474388555606831</v>
      </c>
      <c r="L37" s="1">
        <f t="shared" si="1"/>
        <v>0.12736502076603601</v>
      </c>
      <c r="M37" s="1">
        <f t="shared" si="2"/>
        <v>0.70789109367789571</v>
      </c>
      <c r="O37">
        <v>36</v>
      </c>
      <c r="P37" t="s">
        <v>78</v>
      </c>
      <c r="Q37" t="s">
        <v>34</v>
      </c>
      <c r="R37">
        <v>550</v>
      </c>
      <c r="S37">
        <v>379</v>
      </c>
      <c r="T37">
        <v>1240</v>
      </c>
    </row>
    <row r="38" spans="8:20" x14ac:dyDescent="0.3">
      <c r="H38" t="str">
        <f t="shared" si="3"/>
        <v>13/06-1</v>
      </c>
      <c r="I38" s="1">
        <v>0.27450980392156871</v>
      </c>
      <c r="J38" s="1">
        <v>0.28245614035087718</v>
      </c>
      <c r="K38" s="1">
        <f t="shared" si="0"/>
        <v>0.27736890524379026</v>
      </c>
      <c r="L38" s="1">
        <f t="shared" si="1"/>
        <v>0.40064397424103038</v>
      </c>
      <c r="M38" s="1">
        <f t="shared" si="2"/>
        <v>0.32198712051517941</v>
      </c>
      <c r="O38">
        <v>37</v>
      </c>
      <c r="P38" t="s">
        <v>78</v>
      </c>
      <c r="Q38" t="s">
        <v>37</v>
      </c>
      <c r="R38">
        <v>354</v>
      </c>
      <c r="S38">
        <v>372</v>
      </c>
      <c r="T38">
        <v>1444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79</v>
      </c>
      <c r="Q39" t="s">
        <v>34</v>
      </c>
      <c r="R39">
        <v>550</v>
      </c>
      <c r="S39">
        <v>344</v>
      </c>
      <c r="T39">
        <v>1275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79</v>
      </c>
      <c r="Q40" t="s">
        <v>37</v>
      </c>
      <c r="R40">
        <v>693</v>
      </c>
      <c r="S40">
        <v>316</v>
      </c>
      <c r="T40">
        <v>1156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80</v>
      </c>
      <c r="Q41" t="s">
        <v>34</v>
      </c>
      <c r="R41">
        <v>671</v>
      </c>
      <c r="S41">
        <v>410</v>
      </c>
      <c r="T41">
        <v>1091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80</v>
      </c>
      <c r="Q42" t="s">
        <v>37</v>
      </c>
      <c r="R42">
        <v>709</v>
      </c>
      <c r="S42">
        <v>328</v>
      </c>
      <c r="T42">
        <v>1129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81</v>
      </c>
      <c r="Q43" t="s">
        <v>34</v>
      </c>
      <c r="R43">
        <v>632</v>
      </c>
      <c r="S43">
        <v>411</v>
      </c>
      <c r="T43">
        <v>1126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81</v>
      </c>
      <c r="Q44" t="s">
        <v>37</v>
      </c>
      <c r="R44">
        <v>739</v>
      </c>
      <c r="S44">
        <v>382</v>
      </c>
      <c r="T44">
        <v>1045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82</v>
      </c>
      <c r="Q45" t="s">
        <v>34</v>
      </c>
      <c r="R45">
        <v>453</v>
      </c>
      <c r="S45">
        <v>543</v>
      </c>
      <c r="T45">
        <v>1174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82</v>
      </c>
      <c r="Q46" t="s">
        <v>37</v>
      </c>
      <c r="R46">
        <v>753</v>
      </c>
      <c r="S46">
        <v>485</v>
      </c>
      <c r="T46">
        <v>930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83</v>
      </c>
      <c r="Q47" t="s">
        <v>34</v>
      </c>
      <c r="R47">
        <v>409</v>
      </c>
      <c r="S47">
        <v>499</v>
      </c>
      <c r="T47">
        <v>1266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83</v>
      </c>
      <c r="Q48" t="s">
        <v>37</v>
      </c>
      <c r="R48">
        <v>276</v>
      </c>
      <c r="S48">
        <v>391</v>
      </c>
      <c r="T48">
        <v>1497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84</v>
      </c>
      <c r="Q49" t="s">
        <v>34</v>
      </c>
      <c r="R49">
        <v>0</v>
      </c>
      <c r="S49">
        <v>0</v>
      </c>
      <c r="T49">
        <v>2160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84</v>
      </c>
      <c r="Q50" t="s">
        <v>37</v>
      </c>
      <c r="R50">
        <v>0</v>
      </c>
      <c r="S50">
        <v>0</v>
      </c>
      <c r="T50">
        <v>2160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85</v>
      </c>
      <c r="Q51" t="s">
        <v>34</v>
      </c>
      <c r="R51">
        <v>289</v>
      </c>
      <c r="S51">
        <v>390</v>
      </c>
      <c r="T51">
        <v>1486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85</v>
      </c>
      <c r="Q52" t="s">
        <v>37</v>
      </c>
      <c r="R52">
        <v>682</v>
      </c>
      <c r="S52">
        <v>422</v>
      </c>
      <c r="T52">
        <v>1064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86</v>
      </c>
      <c r="Q53" t="s">
        <v>34</v>
      </c>
      <c r="R53">
        <v>542</v>
      </c>
      <c r="S53">
        <v>433</v>
      </c>
      <c r="T53">
        <v>1190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86</v>
      </c>
      <c r="Q54" t="s">
        <v>37</v>
      </c>
      <c r="R54">
        <v>951</v>
      </c>
      <c r="S54">
        <v>652</v>
      </c>
      <c r="T54">
        <v>582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87</v>
      </c>
      <c r="Q55" t="s">
        <v>34</v>
      </c>
      <c r="R55">
        <v>499</v>
      </c>
      <c r="S55">
        <v>361</v>
      </c>
      <c r="T55">
        <v>1304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87</v>
      </c>
      <c r="Q56" t="s">
        <v>37</v>
      </c>
      <c r="R56">
        <v>642</v>
      </c>
      <c r="S56">
        <v>574</v>
      </c>
      <c r="T56">
        <v>955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88</v>
      </c>
      <c r="Q57" t="s">
        <v>34</v>
      </c>
      <c r="R57">
        <v>583</v>
      </c>
      <c r="S57">
        <v>611</v>
      </c>
      <c r="T57">
        <v>975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88</v>
      </c>
      <c r="Q58" t="s">
        <v>37</v>
      </c>
      <c r="R58">
        <v>541</v>
      </c>
      <c r="S58">
        <v>620</v>
      </c>
      <c r="T58">
        <v>1010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89</v>
      </c>
      <c r="Q59" t="s">
        <v>34</v>
      </c>
      <c r="R59">
        <v>300</v>
      </c>
      <c r="S59">
        <v>376</v>
      </c>
      <c r="T59">
        <v>1488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89</v>
      </c>
      <c r="Q60" t="s">
        <v>37</v>
      </c>
      <c r="R60">
        <v>615</v>
      </c>
      <c r="S60">
        <v>434</v>
      </c>
      <c r="T60">
        <v>1121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90</v>
      </c>
      <c r="Q61" t="s">
        <v>34</v>
      </c>
      <c r="R61">
        <v>349</v>
      </c>
      <c r="S61">
        <v>368</v>
      </c>
      <c r="T61">
        <v>1447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90</v>
      </c>
      <c r="Q62" t="s">
        <v>37</v>
      </c>
      <c r="R62">
        <v>595</v>
      </c>
      <c r="S62">
        <v>356</v>
      </c>
      <c r="T62">
        <v>1215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91</v>
      </c>
      <c r="Q63" t="s">
        <v>34</v>
      </c>
      <c r="R63">
        <v>0</v>
      </c>
      <c r="S63">
        <v>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91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92</v>
      </c>
      <c r="Q65" t="s">
        <v>34</v>
      </c>
      <c r="R65">
        <v>553</v>
      </c>
      <c r="S65">
        <v>419</v>
      </c>
      <c r="T65">
        <v>1198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92</v>
      </c>
      <c r="Q66" t="s">
        <v>37</v>
      </c>
      <c r="R66">
        <v>338</v>
      </c>
      <c r="S66">
        <v>447</v>
      </c>
      <c r="T66">
        <v>1384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93</v>
      </c>
      <c r="Q67" t="s">
        <v>34</v>
      </c>
      <c r="R67">
        <v>516</v>
      </c>
      <c r="S67">
        <v>429</v>
      </c>
      <c r="T67">
        <v>1225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93</v>
      </c>
      <c r="Q68" t="s">
        <v>37</v>
      </c>
      <c r="R68">
        <v>335</v>
      </c>
      <c r="S68">
        <v>425</v>
      </c>
      <c r="T68">
        <v>1405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94</v>
      </c>
      <c r="Q69" t="s">
        <v>34</v>
      </c>
      <c r="R69">
        <v>510</v>
      </c>
      <c r="S69">
        <v>437</v>
      </c>
      <c r="T69">
        <v>1224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94</v>
      </c>
      <c r="Q70" t="s">
        <v>37</v>
      </c>
      <c r="R70">
        <v>316</v>
      </c>
      <c r="S70">
        <v>384</v>
      </c>
      <c r="T70">
        <v>1466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95</v>
      </c>
      <c r="Q71" t="s">
        <v>34</v>
      </c>
      <c r="R71">
        <v>596</v>
      </c>
      <c r="S71">
        <v>365</v>
      </c>
      <c r="T71">
        <v>1208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95</v>
      </c>
      <c r="Q72" t="s">
        <v>37</v>
      </c>
      <c r="R72">
        <v>307</v>
      </c>
      <c r="S72">
        <v>475</v>
      </c>
      <c r="T72">
        <v>1385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96</v>
      </c>
      <c r="Q73" t="s">
        <v>34</v>
      </c>
      <c r="R73">
        <v>428</v>
      </c>
      <c r="S73">
        <v>471</v>
      </c>
      <c r="T73">
        <v>1269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96</v>
      </c>
      <c r="Q74" t="s">
        <v>37</v>
      </c>
      <c r="R74">
        <v>387</v>
      </c>
      <c r="S74">
        <v>411</v>
      </c>
      <c r="T74">
        <v>1369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97</v>
      </c>
      <c r="Q75" t="s">
        <v>34</v>
      </c>
      <c r="R75">
        <v>506</v>
      </c>
      <c r="S75">
        <v>381</v>
      </c>
      <c r="T75">
        <v>1283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97</v>
      </c>
      <c r="Q76" t="s">
        <v>37</v>
      </c>
      <c r="R76">
        <v>259</v>
      </c>
      <c r="S76">
        <v>350</v>
      </c>
      <c r="T76">
        <v>1555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98</v>
      </c>
      <c r="Q77" t="s">
        <v>34</v>
      </c>
      <c r="R77">
        <v>0</v>
      </c>
      <c r="S77">
        <v>0</v>
      </c>
      <c r="T77">
        <v>2160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98</v>
      </c>
      <c r="Q78" t="s">
        <v>37</v>
      </c>
      <c r="R78">
        <v>0</v>
      </c>
      <c r="S78">
        <v>0</v>
      </c>
      <c r="T78">
        <v>2160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99</v>
      </c>
      <c r="Q79" t="s">
        <v>34</v>
      </c>
      <c r="R79">
        <v>343</v>
      </c>
      <c r="S79">
        <v>403</v>
      </c>
      <c r="T79">
        <v>1417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99</v>
      </c>
      <c r="Q80" t="s">
        <v>37</v>
      </c>
      <c r="R80">
        <v>551</v>
      </c>
      <c r="S80">
        <v>495</v>
      </c>
      <c r="T80">
        <v>1123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100</v>
      </c>
      <c r="Q81" t="s">
        <v>34</v>
      </c>
      <c r="R81">
        <v>362</v>
      </c>
      <c r="S81">
        <v>302</v>
      </c>
      <c r="T81">
        <v>1500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100</v>
      </c>
      <c r="Q82" t="s">
        <v>37</v>
      </c>
      <c r="R82">
        <v>1255</v>
      </c>
      <c r="S82">
        <v>337</v>
      </c>
      <c r="T82">
        <v>577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101</v>
      </c>
      <c r="Q83" t="s">
        <v>34</v>
      </c>
      <c r="R83">
        <v>571</v>
      </c>
      <c r="S83">
        <v>354</v>
      </c>
      <c r="T83">
        <v>1247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101</v>
      </c>
      <c r="Q84" t="s">
        <v>37</v>
      </c>
      <c r="R84">
        <v>932</v>
      </c>
      <c r="S84">
        <v>737</v>
      </c>
      <c r="T84">
        <v>510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102</v>
      </c>
      <c r="Q85" t="s">
        <v>34</v>
      </c>
      <c r="R85">
        <v>303</v>
      </c>
      <c r="S85">
        <v>426</v>
      </c>
      <c r="T85">
        <v>1439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102</v>
      </c>
      <c r="Q86" t="s">
        <v>37</v>
      </c>
      <c r="R86">
        <v>732</v>
      </c>
      <c r="S86">
        <v>458</v>
      </c>
      <c r="T86">
        <v>976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103</v>
      </c>
      <c r="Q87" t="s">
        <v>34</v>
      </c>
      <c r="R87">
        <v>421</v>
      </c>
      <c r="S87">
        <v>335</v>
      </c>
      <c r="T87">
        <v>1406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103</v>
      </c>
      <c r="Q88" t="s">
        <v>37</v>
      </c>
      <c r="R88">
        <v>672</v>
      </c>
      <c r="S88">
        <v>229</v>
      </c>
      <c r="T88">
        <v>1261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104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104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105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105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106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106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107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107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108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108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109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109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110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110</v>
      </c>
      <c r="Q102" t="s">
        <v>37</v>
      </c>
      <c r="R102">
        <v>0</v>
      </c>
      <c r="S102">
        <v>0</v>
      </c>
      <c r="T102">
        <v>2160</v>
      </c>
    </row>
    <row r="103" spans="9:20" x14ac:dyDescent="0.3">
      <c r="O103">
        <v>102</v>
      </c>
      <c r="P103" t="s">
        <v>111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111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112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112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113</v>
      </c>
      <c r="Q107" t="s">
        <v>34</v>
      </c>
      <c r="R107">
        <v>418</v>
      </c>
      <c r="S107">
        <v>592</v>
      </c>
      <c r="T107">
        <v>1153</v>
      </c>
    </row>
    <row r="108" spans="9:20" x14ac:dyDescent="0.3">
      <c r="O108">
        <v>107</v>
      </c>
      <c r="P108" t="s">
        <v>113</v>
      </c>
      <c r="Q108" t="s">
        <v>37</v>
      </c>
      <c r="R108">
        <v>568</v>
      </c>
      <c r="S108">
        <v>451</v>
      </c>
      <c r="T108">
        <v>1151</v>
      </c>
    </row>
    <row r="109" spans="9:20" x14ac:dyDescent="0.3">
      <c r="O109">
        <v>108</v>
      </c>
      <c r="P109" t="s">
        <v>114</v>
      </c>
      <c r="Q109" t="s">
        <v>34</v>
      </c>
      <c r="R109">
        <v>316</v>
      </c>
      <c r="S109">
        <v>389</v>
      </c>
      <c r="T109">
        <v>1461</v>
      </c>
    </row>
    <row r="110" spans="9:20" x14ac:dyDescent="0.3">
      <c r="O110">
        <v>109</v>
      </c>
      <c r="P110" t="s">
        <v>114</v>
      </c>
      <c r="Q110" t="s">
        <v>37</v>
      </c>
      <c r="R110">
        <v>666</v>
      </c>
      <c r="S110">
        <v>480</v>
      </c>
      <c r="T110">
        <v>1024</v>
      </c>
    </row>
    <row r="111" spans="9:20" x14ac:dyDescent="0.3">
      <c r="O111">
        <v>110</v>
      </c>
      <c r="P111" t="s">
        <v>115</v>
      </c>
      <c r="Q111" t="s">
        <v>34</v>
      </c>
      <c r="R111">
        <v>290</v>
      </c>
      <c r="S111">
        <v>471</v>
      </c>
      <c r="T111">
        <v>1403</v>
      </c>
    </row>
    <row r="112" spans="9:20" x14ac:dyDescent="0.3">
      <c r="O112">
        <v>111</v>
      </c>
      <c r="P112" t="s">
        <v>116</v>
      </c>
      <c r="Q112" t="s">
        <v>34</v>
      </c>
      <c r="R112">
        <v>1317</v>
      </c>
      <c r="S112">
        <v>1613</v>
      </c>
      <c r="T112">
        <v>1402</v>
      </c>
    </row>
    <row r="113" spans="15:20" x14ac:dyDescent="0.3">
      <c r="O113">
        <v>112</v>
      </c>
      <c r="P113" t="s">
        <v>116</v>
      </c>
      <c r="Q113" t="s">
        <v>37</v>
      </c>
      <c r="R113">
        <v>905</v>
      </c>
      <c r="S113">
        <v>673</v>
      </c>
      <c r="T113">
        <v>595</v>
      </c>
    </row>
    <row r="114" spans="15:20" x14ac:dyDescent="0.3">
      <c r="O114">
        <v>113</v>
      </c>
      <c r="P114" t="s">
        <v>117</v>
      </c>
      <c r="Q114" t="s">
        <v>34</v>
      </c>
      <c r="R114">
        <v>669</v>
      </c>
      <c r="S114">
        <v>569</v>
      </c>
      <c r="T114">
        <v>937</v>
      </c>
    </row>
    <row r="115" spans="15:20" x14ac:dyDescent="0.3">
      <c r="O115">
        <v>114</v>
      </c>
      <c r="P115" t="s">
        <v>117</v>
      </c>
      <c r="Q115" t="s">
        <v>37</v>
      </c>
      <c r="R115">
        <v>808</v>
      </c>
      <c r="S115">
        <v>570</v>
      </c>
      <c r="T115">
        <v>798</v>
      </c>
    </row>
    <row r="116" spans="15:20" x14ac:dyDescent="0.3">
      <c r="O116">
        <v>115</v>
      </c>
      <c r="P116" t="s">
        <v>118</v>
      </c>
      <c r="Q116" t="s">
        <v>34</v>
      </c>
      <c r="R116">
        <v>292</v>
      </c>
      <c r="S116">
        <v>489</v>
      </c>
      <c r="T116">
        <v>1383</v>
      </c>
    </row>
    <row r="117" spans="15:20" x14ac:dyDescent="0.3">
      <c r="O117">
        <v>116</v>
      </c>
      <c r="P117" t="s">
        <v>118</v>
      </c>
      <c r="Q117" t="s">
        <v>37</v>
      </c>
      <c r="R117">
        <v>517</v>
      </c>
      <c r="S117">
        <v>384</v>
      </c>
      <c r="T117">
        <v>1267</v>
      </c>
    </row>
    <row r="118" spans="15:20" x14ac:dyDescent="0.3">
      <c r="O118">
        <v>117</v>
      </c>
      <c r="P118" t="s">
        <v>119</v>
      </c>
      <c r="Q118" t="s">
        <v>34</v>
      </c>
      <c r="R118">
        <v>0</v>
      </c>
      <c r="S118">
        <v>0</v>
      </c>
      <c r="T118">
        <v>1965</v>
      </c>
    </row>
    <row r="119" spans="15:20" x14ac:dyDescent="0.3">
      <c r="O119">
        <v>118</v>
      </c>
      <c r="P119" t="s">
        <v>119</v>
      </c>
      <c r="Q119" t="s">
        <v>37</v>
      </c>
      <c r="R119">
        <v>0</v>
      </c>
      <c r="S119">
        <v>0</v>
      </c>
      <c r="T119">
        <v>2160</v>
      </c>
    </row>
    <row r="120" spans="15:20" x14ac:dyDescent="0.3">
      <c r="O120">
        <v>119</v>
      </c>
      <c r="P120" t="s">
        <v>120</v>
      </c>
      <c r="Q120" t="s">
        <v>34</v>
      </c>
      <c r="R120">
        <v>582</v>
      </c>
      <c r="S120">
        <v>355</v>
      </c>
      <c r="T120">
        <v>1234</v>
      </c>
    </row>
    <row r="121" spans="15:20" x14ac:dyDescent="0.3">
      <c r="O121">
        <v>120</v>
      </c>
      <c r="P121" t="s">
        <v>120</v>
      </c>
      <c r="Q121" t="s">
        <v>37</v>
      </c>
      <c r="R121">
        <v>565</v>
      </c>
      <c r="S121">
        <v>586</v>
      </c>
      <c r="T121">
        <v>1013</v>
      </c>
    </row>
    <row r="122" spans="15:20" x14ac:dyDescent="0.3">
      <c r="O122">
        <v>121</v>
      </c>
      <c r="P122" t="s">
        <v>121</v>
      </c>
      <c r="Q122" t="s">
        <v>34</v>
      </c>
      <c r="R122">
        <v>425</v>
      </c>
      <c r="S122">
        <v>447</v>
      </c>
      <c r="T122">
        <v>1298</v>
      </c>
    </row>
    <row r="123" spans="15:20" x14ac:dyDescent="0.3">
      <c r="O123">
        <v>122</v>
      </c>
      <c r="P123" t="s">
        <v>121</v>
      </c>
      <c r="Q123" t="s">
        <v>37</v>
      </c>
      <c r="R123">
        <v>588</v>
      </c>
      <c r="S123">
        <v>648</v>
      </c>
      <c r="T123">
        <v>931</v>
      </c>
    </row>
    <row r="124" spans="15:20" x14ac:dyDescent="0.3">
      <c r="O124">
        <v>123</v>
      </c>
      <c r="P124" t="s">
        <v>122</v>
      </c>
      <c r="Q124" t="s">
        <v>34</v>
      </c>
      <c r="R124">
        <v>562</v>
      </c>
      <c r="S124">
        <v>414</v>
      </c>
      <c r="T124">
        <v>1194</v>
      </c>
    </row>
    <row r="125" spans="15:20" x14ac:dyDescent="0.3">
      <c r="O125">
        <v>124</v>
      </c>
      <c r="P125" t="s">
        <v>122</v>
      </c>
      <c r="Q125" t="s">
        <v>37</v>
      </c>
      <c r="R125">
        <v>244</v>
      </c>
      <c r="S125">
        <v>596</v>
      </c>
      <c r="T125">
        <v>1328</v>
      </c>
    </row>
    <row r="126" spans="15:20" x14ac:dyDescent="0.3">
      <c r="O126">
        <v>125</v>
      </c>
      <c r="P126" t="s">
        <v>123</v>
      </c>
      <c r="Q126" t="s">
        <v>34</v>
      </c>
      <c r="R126">
        <v>477</v>
      </c>
      <c r="S126">
        <v>513</v>
      </c>
      <c r="T126">
        <v>1183</v>
      </c>
    </row>
    <row r="127" spans="15:20" x14ac:dyDescent="0.3">
      <c r="O127">
        <v>126</v>
      </c>
      <c r="P127" t="s">
        <v>123</v>
      </c>
      <c r="Q127" t="s">
        <v>37</v>
      </c>
      <c r="R127">
        <v>376</v>
      </c>
      <c r="S127">
        <v>685</v>
      </c>
      <c r="T127">
        <v>1102</v>
      </c>
    </row>
    <row r="128" spans="15:20" x14ac:dyDescent="0.3">
      <c r="O128">
        <v>127</v>
      </c>
      <c r="P128" t="s">
        <v>124</v>
      </c>
      <c r="Q128" t="s">
        <v>34</v>
      </c>
      <c r="R128">
        <v>548</v>
      </c>
      <c r="S128">
        <v>388</v>
      </c>
      <c r="T128">
        <v>1234</v>
      </c>
    </row>
    <row r="129" spans="15:20" x14ac:dyDescent="0.3">
      <c r="O129">
        <v>128</v>
      </c>
      <c r="P129" t="s">
        <v>124</v>
      </c>
      <c r="Q129" t="s">
        <v>37</v>
      </c>
      <c r="R129">
        <v>273</v>
      </c>
      <c r="S129">
        <v>701</v>
      </c>
      <c r="T129">
        <v>1190</v>
      </c>
    </row>
    <row r="130" spans="15:20" x14ac:dyDescent="0.3">
      <c r="O130">
        <v>129</v>
      </c>
      <c r="P130" t="s">
        <v>125</v>
      </c>
      <c r="Q130" t="s">
        <v>34</v>
      </c>
      <c r="R130">
        <v>761</v>
      </c>
      <c r="S130">
        <v>274</v>
      </c>
      <c r="T130">
        <v>1131</v>
      </c>
    </row>
    <row r="131" spans="15:20" x14ac:dyDescent="0.3">
      <c r="O131">
        <v>130</v>
      </c>
      <c r="P131" t="s">
        <v>125</v>
      </c>
      <c r="Q131" t="s">
        <v>37</v>
      </c>
      <c r="R131">
        <v>264</v>
      </c>
      <c r="S131">
        <v>403</v>
      </c>
      <c r="T131">
        <v>1511</v>
      </c>
    </row>
    <row r="132" spans="15:20" x14ac:dyDescent="0.3">
      <c r="O132">
        <v>131</v>
      </c>
      <c r="P132" t="s">
        <v>126</v>
      </c>
      <c r="Q132" t="s">
        <v>34</v>
      </c>
      <c r="R132">
        <v>110</v>
      </c>
      <c r="S132">
        <v>6</v>
      </c>
      <c r="T132">
        <v>2044</v>
      </c>
    </row>
    <row r="133" spans="15:20" x14ac:dyDescent="0.3">
      <c r="O133">
        <v>132</v>
      </c>
      <c r="P133" t="s">
        <v>126</v>
      </c>
      <c r="Q133" t="s">
        <v>37</v>
      </c>
      <c r="R133">
        <v>0</v>
      </c>
      <c r="S133">
        <v>0</v>
      </c>
      <c r="T133">
        <v>2160</v>
      </c>
    </row>
    <row r="134" spans="15:20" x14ac:dyDescent="0.3">
      <c r="O134">
        <v>133</v>
      </c>
      <c r="P134" t="s">
        <v>127</v>
      </c>
      <c r="Q134" t="s">
        <v>34</v>
      </c>
      <c r="R134">
        <v>544</v>
      </c>
      <c r="S134">
        <v>474</v>
      </c>
      <c r="T134">
        <v>1153</v>
      </c>
    </row>
    <row r="135" spans="15:20" x14ac:dyDescent="0.3">
      <c r="O135">
        <v>134</v>
      </c>
      <c r="P135" t="s">
        <v>127</v>
      </c>
      <c r="Q135" t="s">
        <v>37</v>
      </c>
      <c r="R135">
        <v>594</v>
      </c>
      <c r="S135">
        <v>488</v>
      </c>
      <c r="T135">
        <v>1091</v>
      </c>
    </row>
    <row r="136" spans="15:20" x14ac:dyDescent="0.3">
      <c r="O136">
        <v>135</v>
      </c>
      <c r="P136" t="s">
        <v>128</v>
      </c>
      <c r="Q136" t="s">
        <v>34</v>
      </c>
      <c r="R136">
        <v>725</v>
      </c>
      <c r="S136">
        <v>396</v>
      </c>
      <c r="T136">
        <v>1043</v>
      </c>
    </row>
    <row r="137" spans="15:20" x14ac:dyDescent="0.3">
      <c r="O137">
        <v>136</v>
      </c>
      <c r="P137" t="s">
        <v>128</v>
      </c>
      <c r="Q137" t="s">
        <v>37</v>
      </c>
      <c r="R137">
        <v>480</v>
      </c>
      <c r="S137">
        <v>513</v>
      </c>
      <c r="T137">
        <v>1180</v>
      </c>
    </row>
    <row r="138" spans="15:20" x14ac:dyDescent="0.3">
      <c r="O138">
        <v>137</v>
      </c>
      <c r="P138" t="s">
        <v>129</v>
      </c>
      <c r="Q138" t="s">
        <v>34</v>
      </c>
      <c r="R138">
        <v>440</v>
      </c>
      <c r="S138">
        <v>535</v>
      </c>
      <c r="T138">
        <v>1188</v>
      </c>
    </row>
    <row r="139" spans="15:20" x14ac:dyDescent="0.3">
      <c r="O139">
        <v>138</v>
      </c>
      <c r="P139" t="s">
        <v>129</v>
      </c>
      <c r="Q139" t="s">
        <v>37</v>
      </c>
      <c r="R139">
        <v>605</v>
      </c>
      <c r="S139">
        <v>486</v>
      </c>
      <c r="T139">
        <v>1085</v>
      </c>
    </row>
    <row r="140" spans="15:20" x14ac:dyDescent="0.3">
      <c r="O140">
        <v>139</v>
      </c>
      <c r="P140" t="s">
        <v>130</v>
      </c>
      <c r="Q140" t="s">
        <v>34</v>
      </c>
      <c r="R140">
        <v>539</v>
      </c>
      <c r="S140">
        <v>652</v>
      </c>
      <c r="T140">
        <v>979</v>
      </c>
    </row>
    <row r="141" spans="15:20" x14ac:dyDescent="0.3">
      <c r="O141">
        <v>140</v>
      </c>
      <c r="P141" t="s">
        <v>130</v>
      </c>
      <c r="Q141" t="s">
        <v>37</v>
      </c>
      <c r="R141">
        <v>958</v>
      </c>
      <c r="S141">
        <v>672</v>
      </c>
      <c r="T141">
        <v>550</v>
      </c>
    </row>
    <row r="142" spans="15:20" x14ac:dyDescent="0.3">
      <c r="O142">
        <v>141</v>
      </c>
      <c r="P142" t="s">
        <v>131</v>
      </c>
      <c r="Q142" t="s">
        <v>34</v>
      </c>
      <c r="R142">
        <v>351</v>
      </c>
      <c r="S142">
        <v>375</v>
      </c>
      <c r="T142">
        <v>1437</v>
      </c>
    </row>
    <row r="143" spans="15:20" x14ac:dyDescent="0.3">
      <c r="O143">
        <v>142</v>
      </c>
      <c r="P143" t="s">
        <v>131</v>
      </c>
      <c r="Q143" t="s">
        <v>37</v>
      </c>
      <c r="R143">
        <v>607</v>
      </c>
      <c r="S143">
        <v>488</v>
      </c>
      <c r="T143">
        <v>1081</v>
      </c>
    </row>
    <row r="144" spans="15:20" x14ac:dyDescent="0.3">
      <c r="O144">
        <v>143</v>
      </c>
      <c r="P144" t="s">
        <v>132</v>
      </c>
      <c r="Q144" t="s">
        <v>34</v>
      </c>
      <c r="R144">
        <v>748</v>
      </c>
      <c r="S144">
        <v>402</v>
      </c>
      <c r="T144">
        <v>1015</v>
      </c>
    </row>
    <row r="145" spans="15:20" x14ac:dyDescent="0.3">
      <c r="O145">
        <v>144</v>
      </c>
      <c r="P145" t="s">
        <v>132</v>
      </c>
      <c r="Q145" t="s">
        <v>37</v>
      </c>
      <c r="R145">
        <v>444</v>
      </c>
      <c r="S145">
        <v>417</v>
      </c>
      <c r="T145">
        <v>1310</v>
      </c>
    </row>
    <row r="146" spans="15:20" x14ac:dyDescent="0.3">
      <c r="O146">
        <v>145</v>
      </c>
      <c r="P146" t="s">
        <v>133</v>
      </c>
      <c r="Q146" t="s">
        <v>34</v>
      </c>
      <c r="R146">
        <v>0</v>
      </c>
      <c r="S146">
        <v>0</v>
      </c>
      <c r="T146">
        <v>2160</v>
      </c>
    </row>
    <row r="147" spans="15:20" x14ac:dyDescent="0.3">
      <c r="O147">
        <v>146</v>
      </c>
      <c r="P147" t="s">
        <v>133</v>
      </c>
      <c r="Q147" t="s">
        <v>37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134</v>
      </c>
      <c r="Q148" t="s">
        <v>34</v>
      </c>
      <c r="R148">
        <v>486</v>
      </c>
      <c r="S148">
        <v>404</v>
      </c>
      <c r="T148">
        <v>1282</v>
      </c>
    </row>
    <row r="149" spans="15:20" x14ac:dyDescent="0.3">
      <c r="O149">
        <v>148</v>
      </c>
      <c r="P149" t="s">
        <v>134</v>
      </c>
      <c r="Q149" t="s">
        <v>37</v>
      </c>
      <c r="R149">
        <v>297</v>
      </c>
      <c r="S149">
        <v>474</v>
      </c>
      <c r="T149">
        <v>1398</v>
      </c>
    </row>
    <row r="150" spans="15:20" x14ac:dyDescent="0.3">
      <c r="O150">
        <v>149</v>
      </c>
      <c r="P150" t="s">
        <v>135</v>
      </c>
      <c r="Q150" t="s">
        <v>34</v>
      </c>
      <c r="R150">
        <v>530</v>
      </c>
      <c r="S150">
        <v>431</v>
      </c>
      <c r="T150">
        <v>1211</v>
      </c>
    </row>
    <row r="151" spans="15:20" x14ac:dyDescent="0.3">
      <c r="O151">
        <v>150</v>
      </c>
      <c r="P151" t="s">
        <v>135</v>
      </c>
      <c r="Q151" t="s">
        <v>37</v>
      </c>
      <c r="R151">
        <v>350</v>
      </c>
      <c r="S151">
        <v>465</v>
      </c>
      <c r="T151">
        <v>1352</v>
      </c>
    </row>
    <row r="152" spans="15:20" x14ac:dyDescent="0.3">
      <c r="O152">
        <v>151</v>
      </c>
      <c r="P152" t="s">
        <v>136</v>
      </c>
      <c r="Q152" t="s">
        <v>34</v>
      </c>
      <c r="R152">
        <v>561</v>
      </c>
      <c r="S152">
        <v>471</v>
      </c>
      <c r="T152">
        <v>1140</v>
      </c>
    </row>
    <row r="153" spans="15:20" x14ac:dyDescent="0.3">
      <c r="O153">
        <v>152</v>
      </c>
      <c r="P153" t="s">
        <v>136</v>
      </c>
      <c r="Q153" t="s">
        <v>37</v>
      </c>
      <c r="R153">
        <v>410</v>
      </c>
      <c r="S153">
        <v>431</v>
      </c>
      <c r="T153">
        <v>1324</v>
      </c>
    </row>
    <row r="154" spans="15:20" x14ac:dyDescent="0.3">
      <c r="O154">
        <v>153</v>
      </c>
      <c r="P154" t="s">
        <v>137</v>
      </c>
      <c r="Q154" t="s">
        <v>34</v>
      </c>
      <c r="R154">
        <v>516</v>
      </c>
      <c r="S154">
        <v>431</v>
      </c>
      <c r="T154">
        <v>1229</v>
      </c>
    </row>
    <row r="155" spans="15:20" x14ac:dyDescent="0.3">
      <c r="O155">
        <v>154</v>
      </c>
      <c r="P155" t="s">
        <v>137</v>
      </c>
      <c r="Q155" t="s">
        <v>37</v>
      </c>
      <c r="R155">
        <v>335</v>
      </c>
      <c r="S155">
        <v>474</v>
      </c>
      <c r="T155">
        <v>1356</v>
      </c>
    </row>
    <row r="156" spans="15:20" x14ac:dyDescent="0.3">
      <c r="O156">
        <v>155</v>
      </c>
      <c r="P156" t="s">
        <v>138</v>
      </c>
      <c r="Q156" t="s">
        <v>34</v>
      </c>
      <c r="R156">
        <v>521</v>
      </c>
      <c r="S156">
        <v>415</v>
      </c>
      <c r="T156">
        <v>1238</v>
      </c>
    </row>
    <row r="157" spans="15:20" x14ac:dyDescent="0.3">
      <c r="O157">
        <v>156</v>
      </c>
      <c r="P157" t="s">
        <v>138</v>
      </c>
      <c r="Q157" t="s">
        <v>37</v>
      </c>
      <c r="R157">
        <v>748</v>
      </c>
      <c r="S157">
        <v>453</v>
      </c>
      <c r="T157">
        <v>967</v>
      </c>
    </row>
    <row r="158" spans="15:20" x14ac:dyDescent="0.3">
      <c r="O158">
        <v>157</v>
      </c>
      <c r="P158" t="s">
        <v>139</v>
      </c>
      <c r="Q158" t="s">
        <v>34</v>
      </c>
      <c r="R158">
        <v>491</v>
      </c>
      <c r="S158">
        <v>420</v>
      </c>
      <c r="T158">
        <v>1258</v>
      </c>
    </row>
    <row r="159" spans="15:20" x14ac:dyDescent="0.3">
      <c r="O159">
        <v>158</v>
      </c>
      <c r="P159" t="s">
        <v>139</v>
      </c>
      <c r="Q159" t="s">
        <v>37</v>
      </c>
      <c r="R159">
        <v>497</v>
      </c>
      <c r="S159">
        <v>393</v>
      </c>
      <c r="T159">
        <v>1274</v>
      </c>
    </row>
    <row r="160" spans="15:20" x14ac:dyDescent="0.3">
      <c r="O160">
        <v>159</v>
      </c>
      <c r="P160" t="s">
        <v>140</v>
      </c>
      <c r="Q160" t="s">
        <v>34</v>
      </c>
      <c r="R160">
        <v>0</v>
      </c>
      <c r="S160">
        <v>0</v>
      </c>
      <c r="T160">
        <v>2160</v>
      </c>
    </row>
    <row r="161" spans="15:20" x14ac:dyDescent="0.3">
      <c r="O161">
        <v>160</v>
      </c>
      <c r="P161" t="s">
        <v>140</v>
      </c>
      <c r="Q161" t="s">
        <v>37</v>
      </c>
      <c r="R161">
        <v>0</v>
      </c>
      <c r="S161">
        <v>0</v>
      </c>
      <c r="T161">
        <v>2160</v>
      </c>
    </row>
    <row r="162" spans="15:20" x14ac:dyDescent="0.3">
      <c r="O162">
        <v>161</v>
      </c>
      <c r="P162" t="s">
        <v>141</v>
      </c>
      <c r="Q162" t="s">
        <v>34</v>
      </c>
      <c r="R162">
        <v>388</v>
      </c>
      <c r="S162">
        <v>350</v>
      </c>
      <c r="T162">
        <v>1427</v>
      </c>
    </row>
    <row r="163" spans="15:20" x14ac:dyDescent="0.3">
      <c r="O163">
        <v>162</v>
      </c>
      <c r="P163" t="s">
        <v>141</v>
      </c>
      <c r="Q163" t="s">
        <v>37</v>
      </c>
      <c r="R163">
        <v>562</v>
      </c>
      <c r="S163">
        <v>528</v>
      </c>
      <c r="T163">
        <v>1084</v>
      </c>
    </row>
    <row r="164" spans="15:20" x14ac:dyDescent="0.3">
      <c r="O164">
        <v>163</v>
      </c>
      <c r="P164" t="s">
        <v>142</v>
      </c>
      <c r="Q164" t="s">
        <v>34</v>
      </c>
      <c r="R164">
        <v>322</v>
      </c>
      <c r="S164">
        <v>366</v>
      </c>
      <c r="T164">
        <v>1478</v>
      </c>
    </row>
    <row r="165" spans="15:20" x14ac:dyDescent="0.3">
      <c r="O165">
        <v>164</v>
      </c>
      <c r="P165" t="s">
        <v>142</v>
      </c>
      <c r="Q165" t="s">
        <v>37</v>
      </c>
      <c r="R165">
        <v>728</v>
      </c>
      <c r="S165">
        <v>404</v>
      </c>
      <c r="T165">
        <v>1040</v>
      </c>
    </row>
    <row r="166" spans="15:20" x14ac:dyDescent="0.3">
      <c r="O166">
        <v>165</v>
      </c>
      <c r="P166" t="s">
        <v>143</v>
      </c>
      <c r="Q166" t="s">
        <v>34</v>
      </c>
      <c r="R166">
        <v>380</v>
      </c>
      <c r="S166">
        <v>378</v>
      </c>
      <c r="T166">
        <v>1410</v>
      </c>
    </row>
    <row r="167" spans="15:20" x14ac:dyDescent="0.3">
      <c r="O167">
        <v>166</v>
      </c>
      <c r="P167" t="s">
        <v>143</v>
      </c>
      <c r="Q167" t="s">
        <v>37</v>
      </c>
      <c r="R167">
        <v>353</v>
      </c>
      <c r="S167">
        <v>246</v>
      </c>
      <c r="T167">
        <v>1567</v>
      </c>
    </row>
    <row r="168" spans="15:20" x14ac:dyDescent="0.3">
      <c r="O168">
        <v>167</v>
      </c>
      <c r="P168" t="s">
        <v>144</v>
      </c>
      <c r="Q168" t="s">
        <v>34</v>
      </c>
      <c r="R168">
        <v>307</v>
      </c>
      <c r="S168">
        <v>358</v>
      </c>
      <c r="T168">
        <v>1500</v>
      </c>
    </row>
    <row r="169" spans="15:20" x14ac:dyDescent="0.3">
      <c r="O169">
        <v>168</v>
      </c>
      <c r="P169" t="s">
        <v>144</v>
      </c>
      <c r="Q169" t="s">
        <v>37</v>
      </c>
      <c r="R169">
        <v>541</v>
      </c>
      <c r="S169">
        <v>492</v>
      </c>
      <c r="T169">
        <v>1139</v>
      </c>
    </row>
    <row r="170" spans="15:20" x14ac:dyDescent="0.3">
      <c r="O170">
        <v>169</v>
      </c>
      <c r="P170" t="s">
        <v>145</v>
      </c>
      <c r="Q170" t="s">
        <v>34</v>
      </c>
      <c r="R170">
        <v>341</v>
      </c>
      <c r="S170">
        <v>351</v>
      </c>
      <c r="T170">
        <v>1475</v>
      </c>
    </row>
    <row r="171" spans="15:20" x14ac:dyDescent="0.3">
      <c r="O171">
        <v>170</v>
      </c>
      <c r="P171" t="s">
        <v>145</v>
      </c>
      <c r="Q171" t="s">
        <v>37</v>
      </c>
      <c r="R171">
        <v>608</v>
      </c>
      <c r="S171">
        <v>447</v>
      </c>
      <c r="T171">
        <v>1117</v>
      </c>
    </row>
    <row r="172" spans="15:20" x14ac:dyDescent="0.3">
      <c r="O172">
        <v>171</v>
      </c>
      <c r="P172" t="s">
        <v>146</v>
      </c>
      <c r="Q172" t="s">
        <v>34</v>
      </c>
      <c r="R172">
        <v>0</v>
      </c>
      <c r="S172">
        <v>0</v>
      </c>
      <c r="T172">
        <v>2159</v>
      </c>
    </row>
    <row r="173" spans="15:20" x14ac:dyDescent="0.3">
      <c r="O173">
        <v>172</v>
      </c>
      <c r="P173" t="s">
        <v>146</v>
      </c>
      <c r="Q173" t="s">
        <v>37</v>
      </c>
      <c r="R173">
        <v>9</v>
      </c>
      <c r="S173">
        <v>5</v>
      </c>
      <c r="T173">
        <v>2145</v>
      </c>
    </row>
    <row r="174" spans="15:20" x14ac:dyDescent="0.3">
      <c r="O174">
        <v>173</v>
      </c>
      <c r="P174" t="s">
        <v>147</v>
      </c>
      <c r="Q174" t="s">
        <v>34</v>
      </c>
      <c r="R174">
        <v>0</v>
      </c>
      <c r="S174">
        <v>0</v>
      </c>
      <c r="T174">
        <v>2160</v>
      </c>
    </row>
    <row r="175" spans="15:20" x14ac:dyDescent="0.3">
      <c r="O175">
        <v>174</v>
      </c>
      <c r="P175" t="s">
        <v>147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148</v>
      </c>
      <c r="Q176" t="s">
        <v>34</v>
      </c>
      <c r="R176">
        <v>514</v>
      </c>
      <c r="S176">
        <v>383</v>
      </c>
      <c r="T176">
        <v>1270</v>
      </c>
    </row>
    <row r="177" spans="15:20" x14ac:dyDescent="0.3">
      <c r="O177">
        <v>176</v>
      </c>
      <c r="P177" t="s">
        <v>148</v>
      </c>
      <c r="Q177" t="s">
        <v>37</v>
      </c>
      <c r="R177">
        <v>373</v>
      </c>
      <c r="S177">
        <v>395</v>
      </c>
      <c r="T177">
        <v>1398</v>
      </c>
    </row>
    <row r="178" spans="15:20" x14ac:dyDescent="0.3">
      <c r="O178">
        <v>177</v>
      </c>
      <c r="P178" t="s">
        <v>149</v>
      </c>
      <c r="Q178" t="s">
        <v>34</v>
      </c>
      <c r="R178">
        <v>584</v>
      </c>
      <c r="S178">
        <v>395</v>
      </c>
      <c r="T178">
        <v>1187</v>
      </c>
    </row>
    <row r="179" spans="15:20" x14ac:dyDescent="0.3">
      <c r="O179">
        <v>178</v>
      </c>
      <c r="P179" t="s">
        <v>149</v>
      </c>
      <c r="Q179" t="s">
        <v>37</v>
      </c>
      <c r="R179">
        <v>345</v>
      </c>
      <c r="S179">
        <v>419</v>
      </c>
      <c r="T179">
        <v>1404</v>
      </c>
    </row>
    <row r="180" spans="15:20" x14ac:dyDescent="0.3">
      <c r="O180">
        <v>179</v>
      </c>
      <c r="P180" t="s">
        <v>150</v>
      </c>
      <c r="Q180" t="s">
        <v>34</v>
      </c>
      <c r="R180">
        <v>524</v>
      </c>
      <c r="S180">
        <v>460</v>
      </c>
      <c r="T180">
        <v>1183</v>
      </c>
    </row>
    <row r="181" spans="15:20" x14ac:dyDescent="0.3">
      <c r="O181">
        <v>180</v>
      </c>
      <c r="P181" t="s">
        <v>150</v>
      </c>
      <c r="Q181" t="s">
        <v>37</v>
      </c>
      <c r="R181">
        <v>331</v>
      </c>
      <c r="S181">
        <v>436</v>
      </c>
      <c r="T181">
        <v>1401</v>
      </c>
    </row>
    <row r="182" spans="15:20" x14ac:dyDescent="0.3">
      <c r="O182">
        <v>181</v>
      </c>
      <c r="P182" t="s">
        <v>151</v>
      </c>
      <c r="Q182" t="s">
        <v>34</v>
      </c>
      <c r="R182">
        <v>499</v>
      </c>
      <c r="S182">
        <v>411</v>
      </c>
      <c r="T182">
        <v>1258</v>
      </c>
    </row>
    <row r="183" spans="15:20" x14ac:dyDescent="0.3">
      <c r="O183">
        <v>182</v>
      </c>
      <c r="P183" t="s">
        <v>151</v>
      </c>
      <c r="Q183" t="s">
        <v>37</v>
      </c>
      <c r="R183">
        <v>309</v>
      </c>
      <c r="S183">
        <v>452</v>
      </c>
      <c r="T183">
        <v>1405</v>
      </c>
    </row>
    <row r="184" spans="15:20" x14ac:dyDescent="0.3">
      <c r="O184">
        <v>183</v>
      </c>
      <c r="P184" t="s">
        <v>152</v>
      </c>
      <c r="Q184" t="s">
        <v>34</v>
      </c>
      <c r="R184">
        <v>540</v>
      </c>
      <c r="S184">
        <v>433</v>
      </c>
      <c r="T184">
        <v>1199</v>
      </c>
    </row>
    <row r="185" spans="15:20" x14ac:dyDescent="0.3">
      <c r="O185">
        <v>184</v>
      </c>
      <c r="P185" t="s">
        <v>152</v>
      </c>
      <c r="Q185" t="s">
        <v>37</v>
      </c>
      <c r="R185">
        <v>372</v>
      </c>
      <c r="S185">
        <v>506</v>
      </c>
      <c r="T185">
        <v>1291</v>
      </c>
    </row>
    <row r="186" spans="15:20" x14ac:dyDescent="0.3">
      <c r="O186">
        <v>185</v>
      </c>
      <c r="P186" t="s">
        <v>153</v>
      </c>
      <c r="Q186" t="s">
        <v>34</v>
      </c>
      <c r="R186">
        <v>725</v>
      </c>
      <c r="S186">
        <v>281</v>
      </c>
      <c r="T186">
        <v>1163</v>
      </c>
    </row>
    <row r="187" spans="15:20" x14ac:dyDescent="0.3">
      <c r="O187">
        <v>186</v>
      </c>
      <c r="P187" t="s">
        <v>153</v>
      </c>
      <c r="Q187" t="s">
        <v>37</v>
      </c>
      <c r="R187">
        <v>243</v>
      </c>
      <c r="S187">
        <v>386</v>
      </c>
      <c r="T187">
        <v>1535</v>
      </c>
    </row>
    <row r="188" spans="15:20" x14ac:dyDescent="0.3">
      <c r="O188">
        <v>187</v>
      </c>
      <c r="P188" t="s">
        <v>154</v>
      </c>
      <c r="Q188" t="s">
        <v>34</v>
      </c>
      <c r="R188">
        <v>72</v>
      </c>
      <c r="S188">
        <v>1</v>
      </c>
      <c r="T188">
        <v>2086</v>
      </c>
    </row>
    <row r="189" spans="15:20" x14ac:dyDescent="0.3">
      <c r="O189">
        <v>188</v>
      </c>
      <c r="P189" t="s">
        <v>154</v>
      </c>
      <c r="Q189" t="s">
        <v>37</v>
      </c>
      <c r="R189">
        <v>720</v>
      </c>
      <c r="S189">
        <v>0</v>
      </c>
      <c r="T189">
        <v>1440</v>
      </c>
    </row>
    <row r="190" spans="15:20" x14ac:dyDescent="0.3">
      <c r="O190">
        <v>189</v>
      </c>
      <c r="P190" t="s">
        <v>155</v>
      </c>
      <c r="Q190" t="s">
        <v>34</v>
      </c>
      <c r="R190">
        <v>424</v>
      </c>
      <c r="S190">
        <v>459</v>
      </c>
      <c r="T190">
        <v>1282</v>
      </c>
    </row>
    <row r="191" spans="15:20" x14ac:dyDescent="0.3">
      <c r="O191">
        <v>190</v>
      </c>
      <c r="P191" t="s">
        <v>155</v>
      </c>
      <c r="Q191" t="s">
        <v>37</v>
      </c>
      <c r="R191">
        <v>328</v>
      </c>
      <c r="S191">
        <v>224</v>
      </c>
      <c r="T191">
        <v>1616</v>
      </c>
    </row>
    <row r="192" spans="15:20" x14ac:dyDescent="0.3">
      <c r="O192">
        <v>191</v>
      </c>
      <c r="P192" t="s">
        <v>156</v>
      </c>
      <c r="Q192" t="s">
        <v>34</v>
      </c>
      <c r="R192">
        <v>581</v>
      </c>
      <c r="S192">
        <v>413</v>
      </c>
      <c r="T192">
        <v>1171</v>
      </c>
    </row>
    <row r="193" spans="15:20" x14ac:dyDescent="0.3">
      <c r="O193">
        <v>192</v>
      </c>
      <c r="P193" t="s">
        <v>156</v>
      </c>
      <c r="Q193" t="s">
        <v>37</v>
      </c>
      <c r="R193">
        <v>389</v>
      </c>
      <c r="S193">
        <v>223</v>
      </c>
      <c r="T193">
        <v>1554</v>
      </c>
    </row>
    <row r="194" spans="15:20" x14ac:dyDescent="0.3">
      <c r="O194">
        <v>193</v>
      </c>
      <c r="P194" t="s">
        <v>157</v>
      </c>
      <c r="Q194" t="s">
        <v>34</v>
      </c>
      <c r="R194">
        <v>303</v>
      </c>
      <c r="S194">
        <v>372</v>
      </c>
      <c r="T194">
        <v>1490</v>
      </c>
    </row>
    <row r="195" spans="15:20" x14ac:dyDescent="0.3">
      <c r="O195">
        <v>194</v>
      </c>
      <c r="P195" t="s">
        <v>157</v>
      </c>
      <c r="Q195" t="s">
        <v>37</v>
      </c>
      <c r="R195">
        <v>479</v>
      </c>
      <c r="S195">
        <v>569</v>
      </c>
      <c r="T195">
        <v>1123</v>
      </c>
    </row>
    <row r="196" spans="15:20" x14ac:dyDescent="0.3">
      <c r="O196">
        <v>195</v>
      </c>
      <c r="P196" t="s">
        <v>158</v>
      </c>
      <c r="Q196" t="s">
        <v>34</v>
      </c>
      <c r="R196">
        <v>259</v>
      </c>
      <c r="S196">
        <v>424</v>
      </c>
      <c r="T196">
        <v>1484</v>
      </c>
    </row>
    <row r="197" spans="15:20" x14ac:dyDescent="0.3">
      <c r="O197">
        <v>196</v>
      </c>
      <c r="P197" t="s">
        <v>158</v>
      </c>
      <c r="Q197" t="s">
        <v>37</v>
      </c>
      <c r="R197">
        <v>582</v>
      </c>
      <c r="S197">
        <v>472</v>
      </c>
      <c r="T197">
        <v>1116</v>
      </c>
    </row>
    <row r="198" spans="15:20" x14ac:dyDescent="0.3">
      <c r="O198">
        <v>197</v>
      </c>
      <c r="P198" t="s">
        <v>159</v>
      </c>
      <c r="Q198" t="s">
        <v>34</v>
      </c>
      <c r="R198">
        <v>306</v>
      </c>
      <c r="S198">
        <v>399</v>
      </c>
      <c r="T198">
        <v>1460</v>
      </c>
    </row>
    <row r="199" spans="15:20" x14ac:dyDescent="0.3">
      <c r="O199">
        <v>198</v>
      </c>
      <c r="P199" t="s">
        <v>159</v>
      </c>
      <c r="Q199" t="s">
        <v>37</v>
      </c>
      <c r="R199">
        <v>655</v>
      </c>
      <c r="S199">
        <v>438</v>
      </c>
      <c r="T199">
        <v>1073</v>
      </c>
    </row>
    <row r="200" spans="15:20" x14ac:dyDescent="0.3">
      <c r="O200">
        <v>199</v>
      </c>
      <c r="P200" t="s">
        <v>160</v>
      </c>
      <c r="Q200" t="s">
        <v>34</v>
      </c>
      <c r="R200">
        <v>329</v>
      </c>
      <c r="S200">
        <v>381</v>
      </c>
      <c r="T200">
        <v>1455</v>
      </c>
    </row>
    <row r="201" spans="15:20" x14ac:dyDescent="0.3">
      <c r="O201">
        <v>200</v>
      </c>
      <c r="P201" t="s">
        <v>160</v>
      </c>
      <c r="Q201" t="s">
        <v>37</v>
      </c>
      <c r="R201">
        <v>561</v>
      </c>
      <c r="S201">
        <v>441</v>
      </c>
      <c r="T201">
        <v>1171</v>
      </c>
    </row>
    <row r="202" spans="15:20" x14ac:dyDescent="0.3">
      <c r="O202">
        <v>201</v>
      </c>
      <c r="P202" t="s">
        <v>161</v>
      </c>
      <c r="Q202" t="s">
        <v>34</v>
      </c>
      <c r="R202">
        <v>0</v>
      </c>
      <c r="S202">
        <v>0</v>
      </c>
      <c r="T202">
        <v>2160</v>
      </c>
    </row>
    <row r="203" spans="15:20" x14ac:dyDescent="0.3">
      <c r="O203">
        <v>202</v>
      </c>
      <c r="P203" t="s">
        <v>161</v>
      </c>
      <c r="Q203" t="s">
        <v>37</v>
      </c>
      <c r="R203">
        <v>0</v>
      </c>
      <c r="S203">
        <v>0</v>
      </c>
      <c r="T203">
        <v>2160</v>
      </c>
    </row>
    <row r="204" spans="15:20" x14ac:dyDescent="0.3">
      <c r="O204">
        <v>203</v>
      </c>
      <c r="P204" t="s">
        <v>162</v>
      </c>
      <c r="Q204" t="s">
        <v>34</v>
      </c>
      <c r="R204">
        <v>469</v>
      </c>
      <c r="S204">
        <v>493</v>
      </c>
      <c r="T204">
        <v>1209</v>
      </c>
    </row>
    <row r="205" spans="15:20" x14ac:dyDescent="0.3">
      <c r="O205">
        <v>204</v>
      </c>
      <c r="P205" t="s">
        <v>162</v>
      </c>
      <c r="Q205" t="s">
        <v>37</v>
      </c>
      <c r="R205">
        <v>272</v>
      </c>
      <c r="S205">
        <v>505</v>
      </c>
      <c r="T205">
        <v>1397</v>
      </c>
    </row>
    <row r="206" spans="15:20" x14ac:dyDescent="0.3">
      <c r="O206">
        <v>205</v>
      </c>
      <c r="P206" t="s">
        <v>163</v>
      </c>
      <c r="Q206" t="s">
        <v>34</v>
      </c>
      <c r="R206">
        <v>412</v>
      </c>
      <c r="S206">
        <v>517</v>
      </c>
      <c r="T206">
        <v>1235</v>
      </c>
    </row>
    <row r="207" spans="15:20" x14ac:dyDescent="0.3">
      <c r="O207">
        <v>206</v>
      </c>
      <c r="P207" t="s">
        <v>163</v>
      </c>
      <c r="Q207" t="s">
        <v>37</v>
      </c>
      <c r="R207">
        <v>315</v>
      </c>
      <c r="S207">
        <v>456</v>
      </c>
      <c r="T207">
        <v>1395</v>
      </c>
    </row>
    <row r="208" spans="15:20" x14ac:dyDescent="0.3">
      <c r="O208">
        <v>207</v>
      </c>
      <c r="P208" t="s">
        <v>164</v>
      </c>
      <c r="Q208" t="s">
        <v>34</v>
      </c>
      <c r="R208">
        <v>379</v>
      </c>
      <c r="S208">
        <v>559</v>
      </c>
      <c r="T208">
        <v>1228</v>
      </c>
    </row>
    <row r="209" spans="15:20" x14ac:dyDescent="0.3">
      <c r="O209">
        <v>208</v>
      </c>
      <c r="P209" t="s">
        <v>164</v>
      </c>
      <c r="Q209" t="s">
        <v>37</v>
      </c>
      <c r="R209">
        <v>240</v>
      </c>
      <c r="S209">
        <v>521</v>
      </c>
      <c r="T209">
        <v>1406</v>
      </c>
    </row>
    <row r="210" spans="15:20" x14ac:dyDescent="0.3">
      <c r="O210">
        <v>209</v>
      </c>
      <c r="P210" t="s">
        <v>165</v>
      </c>
      <c r="Q210" t="s">
        <v>34</v>
      </c>
      <c r="R210">
        <v>441</v>
      </c>
      <c r="S210">
        <v>572</v>
      </c>
      <c r="T210">
        <v>1151</v>
      </c>
    </row>
    <row r="211" spans="15:20" x14ac:dyDescent="0.3">
      <c r="O211">
        <v>210</v>
      </c>
      <c r="P211" t="s">
        <v>165</v>
      </c>
      <c r="Q211" t="s">
        <v>37</v>
      </c>
      <c r="R211">
        <v>379</v>
      </c>
      <c r="S211">
        <v>466</v>
      </c>
      <c r="T211">
        <v>1324</v>
      </c>
    </row>
    <row r="212" spans="15:20" x14ac:dyDescent="0.3">
      <c r="O212">
        <v>211</v>
      </c>
      <c r="P212" t="s">
        <v>166</v>
      </c>
      <c r="Q212" t="s">
        <v>34</v>
      </c>
      <c r="R212">
        <v>522</v>
      </c>
      <c r="S212">
        <v>403</v>
      </c>
      <c r="T212">
        <v>1248</v>
      </c>
    </row>
    <row r="213" spans="15:20" x14ac:dyDescent="0.3">
      <c r="O213">
        <v>212</v>
      </c>
      <c r="P213" t="s">
        <v>166</v>
      </c>
      <c r="Q213" t="s">
        <v>37</v>
      </c>
      <c r="R213">
        <v>356</v>
      </c>
      <c r="S213">
        <v>431</v>
      </c>
      <c r="T213">
        <v>1379</v>
      </c>
    </row>
    <row r="214" spans="15:20" x14ac:dyDescent="0.3">
      <c r="O214">
        <v>213</v>
      </c>
      <c r="P214" t="s">
        <v>167</v>
      </c>
      <c r="Q214" t="s">
        <v>34</v>
      </c>
      <c r="R214">
        <v>612</v>
      </c>
      <c r="S214">
        <v>328</v>
      </c>
      <c r="T214">
        <v>1226</v>
      </c>
    </row>
    <row r="215" spans="15:20" x14ac:dyDescent="0.3">
      <c r="O215">
        <v>214</v>
      </c>
      <c r="P215" t="s">
        <v>167</v>
      </c>
      <c r="Q215" t="s">
        <v>37</v>
      </c>
      <c r="R215">
        <v>272</v>
      </c>
      <c r="S215">
        <v>364</v>
      </c>
      <c r="T215">
        <v>1528</v>
      </c>
    </row>
    <row r="216" spans="15:20" x14ac:dyDescent="0.3">
      <c r="O216">
        <v>215</v>
      </c>
      <c r="P216" t="s">
        <v>168</v>
      </c>
      <c r="Q216" t="s">
        <v>34</v>
      </c>
      <c r="R216">
        <v>0</v>
      </c>
      <c r="S216">
        <v>0</v>
      </c>
      <c r="T216">
        <v>2160</v>
      </c>
    </row>
    <row r="217" spans="15:20" x14ac:dyDescent="0.3">
      <c r="O217">
        <v>216</v>
      </c>
      <c r="P217" t="s">
        <v>168</v>
      </c>
      <c r="Q217" t="s">
        <v>37</v>
      </c>
      <c r="R217">
        <v>0</v>
      </c>
      <c r="S217">
        <v>0</v>
      </c>
      <c r="T217">
        <v>2160</v>
      </c>
    </row>
    <row r="218" spans="15:20" x14ac:dyDescent="0.3">
      <c r="O218">
        <v>217</v>
      </c>
      <c r="P218" t="s">
        <v>169</v>
      </c>
      <c r="Q218" t="s">
        <v>34</v>
      </c>
      <c r="R218">
        <v>292</v>
      </c>
      <c r="S218">
        <v>390</v>
      </c>
      <c r="T218">
        <v>1485</v>
      </c>
    </row>
    <row r="219" spans="15:20" x14ac:dyDescent="0.3">
      <c r="O219">
        <v>218</v>
      </c>
      <c r="P219" t="s">
        <v>169</v>
      </c>
      <c r="Q219" t="s">
        <v>37</v>
      </c>
      <c r="R219">
        <v>546</v>
      </c>
      <c r="S219">
        <v>557</v>
      </c>
      <c r="T219">
        <v>1066</v>
      </c>
    </row>
    <row r="220" spans="15:20" x14ac:dyDescent="0.3">
      <c r="O220">
        <v>219</v>
      </c>
      <c r="P220" t="s">
        <v>170</v>
      </c>
      <c r="Q220" t="s">
        <v>34</v>
      </c>
      <c r="R220">
        <v>296</v>
      </c>
      <c r="S220">
        <v>447</v>
      </c>
      <c r="T220">
        <v>1424</v>
      </c>
    </row>
    <row r="221" spans="15:20" x14ac:dyDescent="0.3">
      <c r="O221">
        <v>220</v>
      </c>
      <c r="P221" t="s">
        <v>170</v>
      </c>
      <c r="Q221" t="s">
        <v>37</v>
      </c>
      <c r="R221">
        <v>424</v>
      </c>
      <c r="S221">
        <v>634</v>
      </c>
      <c r="T221">
        <v>1112</v>
      </c>
    </row>
    <row r="222" spans="15:20" x14ac:dyDescent="0.3">
      <c r="O222">
        <v>221</v>
      </c>
      <c r="P222" t="s">
        <v>171</v>
      </c>
      <c r="Q222" t="s">
        <v>34</v>
      </c>
      <c r="R222">
        <v>527</v>
      </c>
      <c r="S222">
        <v>434</v>
      </c>
      <c r="T222">
        <v>1203</v>
      </c>
    </row>
    <row r="223" spans="15:20" x14ac:dyDescent="0.3">
      <c r="O223">
        <v>222</v>
      </c>
      <c r="P223" t="s">
        <v>171</v>
      </c>
      <c r="Q223" t="s">
        <v>37</v>
      </c>
      <c r="R223">
        <v>466</v>
      </c>
      <c r="S223">
        <v>644</v>
      </c>
      <c r="T223">
        <v>1059</v>
      </c>
    </row>
    <row r="224" spans="15:20" x14ac:dyDescent="0.3">
      <c r="O224">
        <v>223</v>
      </c>
      <c r="P224" t="s">
        <v>172</v>
      </c>
      <c r="Q224" t="s">
        <v>34</v>
      </c>
      <c r="R224">
        <v>349</v>
      </c>
      <c r="S224">
        <v>360</v>
      </c>
      <c r="T224">
        <v>1454</v>
      </c>
    </row>
    <row r="225" spans="15:20" x14ac:dyDescent="0.3">
      <c r="O225">
        <v>224</v>
      </c>
      <c r="P225" t="s">
        <v>172</v>
      </c>
      <c r="Q225" t="s">
        <v>37</v>
      </c>
      <c r="R225">
        <v>972</v>
      </c>
      <c r="S225">
        <v>560</v>
      </c>
      <c r="T225">
        <v>649</v>
      </c>
    </row>
    <row r="226" spans="15:20" x14ac:dyDescent="0.3">
      <c r="O226">
        <v>225</v>
      </c>
      <c r="P226" t="s">
        <v>173</v>
      </c>
      <c r="Q226" t="s">
        <v>34</v>
      </c>
      <c r="R226">
        <v>513</v>
      </c>
      <c r="S226">
        <v>385</v>
      </c>
      <c r="T226">
        <v>1267</v>
      </c>
    </row>
    <row r="227" spans="15:20" x14ac:dyDescent="0.3">
      <c r="O227">
        <v>226</v>
      </c>
      <c r="P227" t="s">
        <v>173</v>
      </c>
      <c r="Q227" t="s">
        <v>37</v>
      </c>
      <c r="R227">
        <v>504</v>
      </c>
      <c r="S227">
        <v>528</v>
      </c>
      <c r="T227">
        <v>1136</v>
      </c>
    </row>
    <row r="228" spans="15:20" x14ac:dyDescent="0.3">
      <c r="O228">
        <v>227</v>
      </c>
      <c r="P228" t="s">
        <v>174</v>
      </c>
      <c r="Q228" t="s">
        <v>34</v>
      </c>
      <c r="R228">
        <v>238</v>
      </c>
      <c r="S228">
        <v>230</v>
      </c>
      <c r="T228">
        <v>1692</v>
      </c>
    </row>
    <row r="229" spans="15:20" x14ac:dyDescent="0.3">
      <c r="O229">
        <v>228</v>
      </c>
      <c r="P229" t="s">
        <v>174</v>
      </c>
      <c r="Q229" t="s">
        <v>37</v>
      </c>
      <c r="R229">
        <v>0</v>
      </c>
      <c r="S229">
        <v>0</v>
      </c>
      <c r="T229">
        <v>2160</v>
      </c>
    </row>
    <row r="230" spans="15:20" x14ac:dyDescent="0.3">
      <c r="O230">
        <v>229</v>
      </c>
      <c r="P230" t="s">
        <v>175</v>
      </c>
      <c r="Q230" t="s">
        <v>34</v>
      </c>
      <c r="R230">
        <v>0</v>
      </c>
      <c r="S230">
        <v>0</v>
      </c>
      <c r="T230">
        <v>2160</v>
      </c>
    </row>
    <row r="231" spans="15:20" x14ac:dyDescent="0.3">
      <c r="O231">
        <v>230</v>
      </c>
      <c r="P231" t="s">
        <v>175</v>
      </c>
      <c r="Q231" t="s">
        <v>37</v>
      </c>
      <c r="R231">
        <v>0</v>
      </c>
      <c r="S231">
        <v>0</v>
      </c>
      <c r="T231">
        <v>2160</v>
      </c>
    </row>
    <row r="232" spans="15:20" x14ac:dyDescent="0.3">
      <c r="O232">
        <v>231</v>
      </c>
      <c r="P232" t="s">
        <v>176</v>
      </c>
      <c r="Q232" t="s">
        <v>34</v>
      </c>
      <c r="R232">
        <v>259</v>
      </c>
      <c r="S232">
        <v>229</v>
      </c>
      <c r="T232">
        <v>1679</v>
      </c>
    </row>
    <row r="233" spans="15:20" x14ac:dyDescent="0.3">
      <c r="O233">
        <v>232</v>
      </c>
      <c r="P233" t="s">
        <v>176</v>
      </c>
      <c r="Q233" t="s">
        <v>37</v>
      </c>
      <c r="R233">
        <v>345</v>
      </c>
      <c r="S233">
        <v>512</v>
      </c>
      <c r="T233">
        <v>1309</v>
      </c>
    </row>
    <row r="234" spans="15:20" x14ac:dyDescent="0.3">
      <c r="O234">
        <v>233</v>
      </c>
      <c r="P234" t="s">
        <v>177</v>
      </c>
      <c r="Q234" t="s">
        <v>34</v>
      </c>
      <c r="R234">
        <v>504</v>
      </c>
      <c r="S234">
        <v>469</v>
      </c>
      <c r="T234">
        <v>1196</v>
      </c>
    </row>
    <row r="235" spans="15:20" x14ac:dyDescent="0.3">
      <c r="O235">
        <v>234</v>
      </c>
      <c r="P235" t="s">
        <v>177</v>
      </c>
      <c r="Q235" t="s">
        <v>37</v>
      </c>
      <c r="R235">
        <v>269</v>
      </c>
      <c r="S235">
        <v>554</v>
      </c>
      <c r="T235">
        <v>1342</v>
      </c>
    </row>
    <row r="236" spans="15:20" x14ac:dyDescent="0.3">
      <c r="O236">
        <v>235</v>
      </c>
      <c r="P236" t="s">
        <v>178</v>
      </c>
      <c r="Q236" t="s">
        <v>34</v>
      </c>
      <c r="R236">
        <v>278</v>
      </c>
      <c r="S236">
        <v>220</v>
      </c>
      <c r="T236">
        <v>1669</v>
      </c>
    </row>
    <row r="237" spans="15:20" x14ac:dyDescent="0.3">
      <c r="O237">
        <v>236</v>
      </c>
      <c r="P237" t="s">
        <v>178</v>
      </c>
      <c r="Q237" t="s">
        <v>37</v>
      </c>
      <c r="R237">
        <v>299</v>
      </c>
      <c r="S237">
        <v>618</v>
      </c>
      <c r="T237">
        <v>1247</v>
      </c>
    </row>
    <row r="238" spans="15:20" x14ac:dyDescent="0.3">
      <c r="O238">
        <v>237</v>
      </c>
      <c r="P238" t="s">
        <v>179</v>
      </c>
      <c r="Q238" t="s">
        <v>34</v>
      </c>
      <c r="R238">
        <v>0</v>
      </c>
      <c r="S238">
        <v>0</v>
      </c>
      <c r="T238">
        <v>2160</v>
      </c>
    </row>
    <row r="239" spans="15:20" x14ac:dyDescent="0.3">
      <c r="O239">
        <v>238</v>
      </c>
      <c r="P239" t="s">
        <v>179</v>
      </c>
      <c r="Q239" t="s">
        <v>37</v>
      </c>
      <c r="R239">
        <v>0</v>
      </c>
      <c r="S239">
        <v>0</v>
      </c>
      <c r="T239">
        <v>2160</v>
      </c>
    </row>
    <row r="240" spans="15:20" x14ac:dyDescent="0.3">
      <c r="O240">
        <v>239</v>
      </c>
      <c r="P240" t="s">
        <v>180</v>
      </c>
      <c r="Q240" t="s">
        <v>34</v>
      </c>
      <c r="R240">
        <v>0</v>
      </c>
      <c r="S240">
        <v>0</v>
      </c>
      <c r="T240">
        <v>2160</v>
      </c>
    </row>
    <row r="241" spans="15:20" x14ac:dyDescent="0.3">
      <c r="O241">
        <v>240</v>
      </c>
      <c r="P241" t="s">
        <v>180</v>
      </c>
      <c r="Q241" t="s">
        <v>37</v>
      </c>
      <c r="R241">
        <v>0</v>
      </c>
      <c r="S241">
        <v>0</v>
      </c>
      <c r="T241">
        <v>2160</v>
      </c>
    </row>
    <row r="242" spans="15:20" x14ac:dyDescent="0.3">
      <c r="O242">
        <v>241</v>
      </c>
      <c r="P242" t="s">
        <v>181</v>
      </c>
      <c r="Q242" t="s">
        <v>34</v>
      </c>
      <c r="R242">
        <v>0</v>
      </c>
      <c r="S242">
        <v>0</v>
      </c>
      <c r="T242">
        <v>2160</v>
      </c>
    </row>
    <row r="243" spans="15:20" x14ac:dyDescent="0.3">
      <c r="O243">
        <v>242</v>
      </c>
      <c r="P243" t="s">
        <v>181</v>
      </c>
      <c r="Q243" t="s">
        <v>37</v>
      </c>
      <c r="R243">
        <v>0</v>
      </c>
      <c r="S243">
        <v>0</v>
      </c>
      <c r="T243">
        <v>2160</v>
      </c>
    </row>
    <row r="244" spans="15:20" x14ac:dyDescent="0.3">
      <c r="O244">
        <v>243</v>
      </c>
      <c r="P244" t="s">
        <v>182</v>
      </c>
      <c r="Q244" t="s">
        <v>34</v>
      </c>
      <c r="R244">
        <v>0</v>
      </c>
      <c r="S244">
        <v>0</v>
      </c>
      <c r="T244">
        <v>2160</v>
      </c>
    </row>
    <row r="245" spans="15:20" x14ac:dyDescent="0.3">
      <c r="O245">
        <v>244</v>
      </c>
      <c r="P245" t="s">
        <v>182</v>
      </c>
      <c r="Q245" t="s">
        <v>37</v>
      </c>
      <c r="R245">
        <v>0</v>
      </c>
      <c r="S245">
        <v>0</v>
      </c>
      <c r="T245">
        <v>2160</v>
      </c>
    </row>
    <row r="246" spans="15:20" x14ac:dyDescent="0.3">
      <c r="O246">
        <v>245</v>
      </c>
      <c r="P246" t="s">
        <v>183</v>
      </c>
      <c r="Q246" t="s">
        <v>34</v>
      </c>
      <c r="R246">
        <v>251</v>
      </c>
      <c r="S246">
        <v>574</v>
      </c>
      <c r="T246">
        <v>1335</v>
      </c>
    </row>
    <row r="247" spans="15:20" x14ac:dyDescent="0.3">
      <c r="O247">
        <v>246</v>
      </c>
      <c r="P247" t="s">
        <v>183</v>
      </c>
      <c r="Q247" t="s">
        <v>37</v>
      </c>
      <c r="R247">
        <v>604</v>
      </c>
      <c r="S247">
        <v>506</v>
      </c>
      <c r="T247">
        <v>1058</v>
      </c>
    </row>
    <row r="248" spans="15:20" x14ac:dyDescent="0.3">
      <c r="O248">
        <v>247</v>
      </c>
      <c r="P248" t="s">
        <v>184</v>
      </c>
      <c r="Q248" t="s">
        <v>34</v>
      </c>
      <c r="R248">
        <v>308</v>
      </c>
      <c r="S248">
        <v>400</v>
      </c>
      <c r="T248">
        <v>1460</v>
      </c>
    </row>
    <row r="249" spans="15:20" x14ac:dyDescent="0.3">
      <c r="O249">
        <v>248</v>
      </c>
      <c r="P249" t="s">
        <v>184</v>
      </c>
      <c r="Q249" t="s">
        <v>37</v>
      </c>
      <c r="R249">
        <v>539</v>
      </c>
      <c r="S249">
        <v>535</v>
      </c>
      <c r="T249">
        <v>1099</v>
      </c>
    </row>
    <row r="250" spans="15:20" x14ac:dyDescent="0.3">
      <c r="O250">
        <v>249</v>
      </c>
      <c r="P250" t="s">
        <v>185</v>
      </c>
      <c r="Q250" t="s">
        <v>34</v>
      </c>
      <c r="R250">
        <v>320</v>
      </c>
      <c r="S250">
        <v>372</v>
      </c>
      <c r="T250">
        <v>1473</v>
      </c>
    </row>
    <row r="251" spans="15:20" x14ac:dyDescent="0.3">
      <c r="O251">
        <v>250</v>
      </c>
      <c r="P251" t="s">
        <v>185</v>
      </c>
      <c r="Q251" t="s">
        <v>37</v>
      </c>
      <c r="R251">
        <v>513</v>
      </c>
      <c r="S251">
        <v>543</v>
      </c>
      <c r="T251">
        <v>1111</v>
      </c>
    </row>
    <row r="252" spans="15:20" x14ac:dyDescent="0.3">
      <c r="O252">
        <v>251</v>
      </c>
      <c r="P252" t="s">
        <v>186</v>
      </c>
      <c r="Q252" t="s">
        <v>34</v>
      </c>
      <c r="R252">
        <v>290</v>
      </c>
      <c r="S252">
        <v>503</v>
      </c>
      <c r="T252">
        <v>1371</v>
      </c>
    </row>
    <row r="253" spans="15:20" x14ac:dyDescent="0.3">
      <c r="O253">
        <v>252</v>
      </c>
      <c r="P253" t="s">
        <v>186</v>
      </c>
      <c r="Q253" t="s">
        <v>37</v>
      </c>
      <c r="R253">
        <v>534</v>
      </c>
      <c r="S253">
        <v>540</v>
      </c>
      <c r="T253">
        <v>1096</v>
      </c>
    </row>
    <row r="254" spans="15:20" x14ac:dyDescent="0.3">
      <c r="O254">
        <v>253</v>
      </c>
      <c r="P254" t="s">
        <v>187</v>
      </c>
      <c r="Q254" t="s">
        <v>34</v>
      </c>
      <c r="R254">
        <v>312</v>
      </c>
      <c r="S254">
        <v>469</v>
      </c>
      <c r="T254">
        <v>1383</v>
      </c>
    </row>
    <row r="255" spans="15:20" x14ac:dyDescent="0.3">
      <c r="O255">
        <v>254</v>
      </c>
      <c r="P255" t="s">
        <v>187</v>
      </c>
      <c r="Q255" t="s">
        <v>37</v>
      </c>
      <c r="R255">
        <v>570</v>
      </c>
      <c r="S255">
        <v>530</v>
      </c>
      <c r="T255">
        <v>1070</v>
      </c>
    </row>
    <row r="256" spans="15:20" x14ac:dyDescent="0.3">
      <c r="O256">
        <v>255</v>
      </c>
      <c r="P256" t="s">
        <v>188</v>
      </c>
      <c r="Q256" t="s">
        <v>34</v>
      </c>
      <c r="R256">
        <v>284</v>
      </c>
      <c r="S256">
        <v>474</v>
      </c>
      <c r="T256">
        <v>1406</v>
      </c>
    </row>
    <row r="257" spans="15:20" x14ac:dyDescent="0.3">
      <c r="O257">
        <v>256</v>
      </c>
      <c r="P257" t="s">
        <v>188</v>
      </c>
      <c r="Q257" t="s">
        <v>37</v>
      </c>
      <c r="R257">
        <v>487</v>
      </c>
      <c r="S257">
        <v>457</v>
      </c>
      <c r="T257">
        <v>1225</v>
      </c>
    </row>
    <row r="258" spans="15:20" x14ac:dyDescent="0.3">
      <c r="O258">
        <v>257</v>
      </c>
      <c r="P258" t="s">
        <v>189</v>
      </c>
      <c r="Q258" t="s">
        <v>34</v>
      </c>
      <c r="R258">
        <v>0</v>
      </c>
      <c r="S258">
        <v>0</v>
      </c>
      <c r="T258">
        <v>2160</v>
      </c>
    </row>
    <row r="259" spans="15:20" x14ac:dyDescent="0.3">
      <c r="O259">
        <v>258</v>
      </c>
      <c r="P259" t="s">
        <v>189</v>
      </c>
      <c r="Q259" t="s">
        <v>37</v>
      </c>
      <c r="R259">
        <v>0</v>
      </c>
      <c r="S259">
        <v>0</v>
      </c>
      <c r="T259">
        <v>2160</v>
      </c>
    </row>
    <row r="260" spans="15:20" x14ac:dyDescent="0.3">
      <c r="O260">
        <v>259</v>
      </c>
      <c r="P260" t="s">
        <v>190</v>
      </c>
      <c r="Q260" t="s">
        <v>34</v>
      </c>
      <c r="R260">
        <v>533</v>
      </c>
      <c r="S260">
        <v>474</v>
      </c>
      <c r="T260">
        <v>1160</v>
      </c>
    </row>
    <row r="261" spans="15:20" x14ac:dyDescent="0.3">
      <c r="O261">
        <v>260</v>
      </c>
      <c r="P261" t="s">
        <v>190</v>
      </c>
      <c r="Q261" t="s">
        <v>37</v>
      </c>
      <c r="R261">
        <v>394</v>
      </c>
      <c r="S261">
        <v>612</v>
      </c>
      <c r="T261">
        <v>1160</v>
      </c>
    </row>
    <row r="262" spans="15:20" x14ac:dyDescent="0.3">
      <c r="O262">
        <v>261</v>
      </c>
      <c r="P262" t="s">
        <v>191</v>
      </c>
      <c r="Q262" t="s">
        <v>34</v>
      </c>
      <c r="R262">
        <v>528</v>
      </c>
      <c r="S262">
        <v>435</v>
      </c>
      <c r="T262">
        <v>1206</v>
      </c>
    </row>
    <row r="263" spans="15:20" x14ac:dyDescent="0.3">
      <c r="O263">
        <v>262</v>
      </c>
      <c r="P263" t="s">
        <v>191</v>
      </c>
      <c r="Q263" t="s">
        <v>37</v>
      </c>
      <c r="R263">
        <v>260</v>
      </c>
      <c r="S263">
        <v>714</v>
      </c>
      <c r="T263">
        <v>1191</v>
      </c>
    </row>
    <row r="264" spans="15:20" x14ac:dyDescent="0.3">
      <c r="O264">
        <v>263</v>
      </c>
      <c r="P264" t="s">
        <v>192</v>
      </c>
      <c r="Q264" t="s">
        <v>34</v>
      </c>
      <c r="R264">
        <v>460</v>
      </c>
      <c r="S264">
        <v>514</v>
      </c>
      <c r="T264">
        <v>1196</v>
      </c>
    </row>
    <row r="265" spans="15:20" x14ac:dyDescent="0.3">
      <c r="O265">
        <v>264</v>
      </c>
      <c r="P265" t="s">
        <v>192</v>
      </c>
      <c r="Q265" t="s">
        <v>37</v>
      </c>
      <c r="R265">
        <v>257</v>
      </c>
      <c r="S265">
        <v>601</v>
      </c>
      <c r="T265">
        <v>1308</v>
      </c>
    </row>
    <row r="266" spans="15:20" x14ac:dyDescent="0.3">
      <c r="O266">
        <v>265</v>
      </c>
      <c r="P266" t="s">
        <v>193</v>
      </c>
      <c r="Q266" t="s">
        <v>34</v>
      </c>
      <c r="R266">
        <v>471</v>
      </c>
      <c r="S266">
        <v>507</v>
      </c>
      <c r="T266">
        <v>1191</v>
      </c>
    </row>
    <row r="267" spans="15:20" x14ac:dyDescent="0.3">
      <c r="O267">
        <v>266</v>
      </c>
      <c r="P267" t="s">
        <v>193</v>
      </c>
      <c r="Q267" t="s">
        <v>37</v>
      </c>
      <c r="R267">
        <v>272</v>
      </c>
      <c r="S267">
        <v>578</v>
      </c>
      <c r="T267">
        <v>1316</v>
      </c>
    </row>
    <row r="268" spans="15:20" x14ac:dyDescent="0.3">
      <c r="O268">
        <v>267</v>
      </c>
      <c r="P268" t="s">
        <v>194</v>
      </c>
      <c r="Q268" t="s">
        <v>34</v>
      </c>
      <c r="R268">
        <v>640</v>
      </c>
      <c r="S268">
        <v>376</v>
      </c>
      <c r="T268">
        <v>1155</v>
      </c>
    </row>
    <row r="269" spans="15:20" x14ac:dyDescent="0.3">
      <c r="O269">
        <v>268</v>
      </c>
      <c r="P269" t="s">
        <v>194</v>
      </c>
      <c r="Q269" t="s">
        <v>37</v>
      </c>
      <c r="R269">
        <v>264</v>
      </c>
      <c r="S269">
        <v>468</v>
      </c>
      <c r="T269">
        <v>1433</v>
      </c>
    </row>
    <row r="270" spans="15:20" x14ac:dyDescent="0.3">
      <c r="O270">
        <v>269</v>
      </c>
      <c r="P270" t="s">
        <v>195</v>
      </c>
      <c r="Q270" t="s">
        <v>34</v>
      </c>
      <c r="R270">
        <v>491</v>
      </c>
      <c r="S270">
        <v>460</v>
      </c>
      <c r="T270">
        <v>1219</v>
      </c>
    </row>
    <row r="271" spans="15:20" x14ac:dyDescent="0.3">
      <c r="O271">
        <v>270</v>
      </c>
      <c r="P271" t="s">
        <v>195</v>
      </c>
      <c r="Q271" t="s">
        <v>37</v>
      </c>
      <c r="R271">
        <v>212</v>
      </c>
      <c r="S271">
        <v>419</v>
      </c>
      <c r="T271">
        <v>1534</v>
      </c>
    </row>
    <row r="272" spans="15:20" x14ac:dyDescent="0.3">
      <c r="O272">
        <v>271</v>
      </c>
      <c r="P272" t="s">
        <v>196</v>
      </c>
      <c r="Q272" t="s">
        <v>34</v>
      </c>
      <c r="R272">
        <v>24</v>
      </c>
      <c r="S272">
        <v>10</v>
      </c>
      <c r="T272">
        <v>2125</v>
      </c>
    </row>
    <row r="273" spans="15:20" x14ac:dyDescent="0.3">
      <c r="O273">
        <v>272</v>
      </c>
      <c r="P273" t="s">
        <v>196</v>
      </c>
      <c r="Q273" t="s">
        <v>37</v>
      </c>
      <c r="R273">
        <v>0</v>
      </c>
      <c r="S273">
        <v>0</v>
      </c>
      <c r="T273">
        <v>2160</v>
      </c>
    </row>
    <row r="274" spans="15:20" x14ac:dyDescent="0.3">
      <c r="O274">
        <v>273</v>
      </c>
      <c r="P274" t="s">
        <v>197</v>
      </c>
      <c r="Q274" t="s">
        <v>34</v>
      </c>
      <c r="R274">
        <v>260</v>
      </c>
      <c r="S274">
        <v>448</v>
      </c>
      <c r="T274">
        <v>1456</v>
      </c>
    </row>
    <row r="275" spans="15:20" x14ac:dyDescent="0.3">
      <c r="O275">
        <v>274</v>
      </c>
      <c r="P275" t="s">
        <v>197</v>
      </c>
      <c r="Q275" t="s">
        <v>37</v>
      </c>
      <c r="R275">
        <v>553</v>
      </c>
      <c r="S275">
        <v>542</v>
      </c>
      <c r="T275">
        <v>1078</v>
      </c>
    </row>
    <row r="276" spans="15:20" x14ac:dyDescent="0.3">
      <c r="O276">
        <v>275</v>
      </c>
      <c r="P276" t="s">
        <v>198</v>
      </c>
      <c r="Q276" t="s">
        <v>34</v>
      </c>
      <c r="R276">
        <v>280</v>
      </c>
      <c r="S276">
        <v>374</v>
      </c>
      <c r="T276">
        <v>1511</v>
      </c>
    </row>
    <row r="277" spans="15:20" x14ac:dyDescent="0.3">
      <c r="O277">
        <v>276</v>
      </c>
      <c r="P277" t="s">
        <v>198</v>
      </c>
      <c r="Q277" t="s">
        <v>37</v>
      </c>
      <c r="R277">
        <v>631</v>
      </c>
      <c r="S277">
        <v>415</v>
      </c>
      <c r="T277">
        <v>1126</v>
      </c>
    </row>
    <row r="278" spans="15:20" x14ac:dyDescent="0.3">
      <c r="O278">
        <v>277</v>
      </c>
      <c r="P278" t="s">
        <v>199</v>
      </c>
      <c r="Q278" t="s">
        <v>34</v>
      </c>
      <c r="R278">
        <v>249</v>
      </c>
      <c r="S278">
        <v>443</v>
      </c>
      <c r="T278">
        <v>1471</v>
      </c>
    </row>
    <row r="279" spans="15:20" x14ac:dyDescent="0.3">
      <c r="O279">
        <v>278</v>
      </c>
      <c r="P279" t="s">
        <v>199</v>
      </c>
      <c r="Q279" t="s">
        <v>37</v>
      </c>
      <c r="R279">
        <v>651</v>
      </c>
      <c r="S279">
        <v>453</v>
      </c>
      <c r="T279">
        <v>1067</v>
      </c>
    </row>
    <row r="280" spans="15:20" x14ac:dyDescent="0.3">
      <c r="O280">
        <v>279</v>
      </c>
      <c r="P280" t="s">
        <v>200</v>
      </c>
      <c r="Q280" t="s">
        <v>34</v>
      </c>
      <c r="R280">
        <v>271</v>
      </c>
      <c r="S280">
        <v>442</v>
      </c>
      <c r="T280">
        <v>1452</v>
      </c>
    </row>
    <row r="281" spans="15:20" x14ac:dyDescent="0.3">
      <c r="O281">
        <v>280</v>
      </c>
      <c r="P281" t="s">
        <v>200</v>
      </c>
      <c r="Q281" t="s">
        <v>37</v>
      </c>
      <c r="R281">
        <v>672</v>
      </c>
      <c r="S281">
        <v>413</v>
      </c>
      <c r="T281">
        <v>1082</v>
      </c>
    </row>
    <row r="282" spans="15:20" x14ac:dyDescent="0.3">
      <c r="O282">
        <v>281</v>
      </c>
      <c r="P282" t="s">
        <v>201</v>
      </c>
      <c r="Q282" t="s">
        <v>34</v>
      </c>
      <c r="R282">
        <v>310</v>
      </c>
      <c r="S282">
        <v>377</v>
      </c>
      <c r="T282">
        <v>1476</v>
      </c>
    </row>
    <row r="283" spans="15:20" x14ac:dyDescent="0.3">
      <c r="O283">
        <v>282</v>
      </c>
      <c r="P283" t="s">
        <v>201</v>
      </c>
      <c r="Q283" t="s">
        <v>37</v>
      </c>
      <c r="R283">
        <v>942</v>
      </c>
      <c r="S283">
        <v>648</v>
      </c>
      <c r="T283">
        <v>588</v>
      </c>
    </row>
    <row r="284" spans="15:20" x14ac:dyDescent="0.3">
      <c r="O284">
        <v>283</v>
      </c>
      <c r="P284" t="s">
        <v>202</v>
      </c>
      <c r="Q284" t="s">
        <v>34</v>
      </c>
      <c r="R284">
        <v>264</v>
      </c>
      <c r="S284">
        <v>376</v>
      </c>
      <c r="T284">
        <v>1525</v>
      </c>
    </row>
    <row r="285" spans="15:20" x14ac:dyDescent="0.3">
      <c r="O285">
        <v>284</v>
      </c>
      <c r="P285" t="s">
        <v>202</v>
      </c>
      <c r="Q285" t="s">
        <v>37</v>
      </c>
      <c r="R285">
        <v>491</v>
      </c>
      <c r="S285">
        <v>421</v>
      </c>
      <c r="T285">
        <v>1255</v>
      </c>
    </row>
    <row r="286" spans="15:20" x14ac:dyDescent="0.3">
      <c r="O286">
        <v>285</v>
      </c>
      <c r="P286" t="s">
        <v>203</v>
      </c>
      <c r="Q286" t="s">
        <v>34</v>
      </c>
      <c r="R286">
        <v>2</v>
      </c>
      <c r="S286">
        <v>0</v>
      </c>
      <c r="T286">
        <v>2157</v>
      </c>
    </row>
    <row r="287" spans="15:20" x14ac:dyDescent="0.3">
      <c r="O287">
        <v>286</v>
      </c>
      <c r="P287" t="s">
        <v>203</v>
      </c>
      <c r="Q287" t="s">
        <v>37</v>
      </c>
      <c r="R287">
        <v>0</v>
      </c>
      <c r="S287">
        <v>0</v>
      </c>
      <c r="T287">
        <v>2160</v>
      </c>
    </row>
    <row r="288" spans="15:20" x14ac:dyDescent="0.3">
      <c r="O288">
        <v>287</v>
      </c>
      <c r="P288" t="s">
        <v>204</v>
      </c>
      <c r="Q288" t="s">
        <v>34</v>
      </c>
      <c r="R288">
        <v>559</v>
      </c>
      <c r="S288">
        <v>436</v>
      </c>
      <c r="T288">
        <v>1174</v>
      </c>
    </row>
    <row r="289" spans="15:20" x14ac:dyDescent="0.3">
      <c r="O289">
        <v>288</v>
      </c>
      <c r="P289" t="s">
        <v>204</v>
      </c>
      <c r="Q289" t="s">
        <v>37</v>
      </c>
      <c r="R289">
        <v>295</v>
      </c>
      <c r="S289">
        <v>454</v>
      </c>
      <c r="T289">
        <v>1417</v>
      </c>
    </row>
    <row r="290" spans="15:20" x14ac:dyDescent="0.3">
      <c r="O290">
        <v>289</v>
      </c>
      <c r="P290" t="s">
        <v>205</v>
      </c>
      <c r="Q290" t="s">
        <v>34</v>
      </c>
      <c r="R290">
        <v>498</v>
      </c>
      <c r="S290">
        <v>487</v>
      </c>
      <c r="T290">
        <v>1180</v>
      </c>
    </row>
    <row r="291" spans="15:20" x14ac:dyDescent="0.3">
      <c r="O291">
        <v>290</v>
      </c>
      <c r="P291" t="s">
        <v>205</v>
      </c>
      <c r="Q291" t="s">
        <v>37</v>
      </c>
      <c r="R291">
        <v>306</v>
      </c>
      <c r="S291">
        <v>446</v>
      </c>
      <c r="T291">
        <v>1413</v>
      </c>
    </row>
    <row r="292" spans="15:20" x14ac:dyDescent="0.3">
      <c r="O292">
        <v>291</v>
      </c>
      <c r="P292" t="s">
        <v>206</v>
      </c>
      <c r="Q292" t="s">
        <v>34</v>
      </c>
      <c r="R292">
        <v>540</v>
      </c>
      <c r="S292">
        <v>426</v>
      </c>
      <c r="T292">
        <v>1200</v>
      </c>
    </row>
    <row r="293" spans="15:20" x14ac:dyDescent="0.3">
      <c r="O293">
        <v>292</v>
      </c>
      <c r="P293" t="s">
        <v>206</v>
      </c>
      <c r="Q293" t="s">
        <v>37</v>
      </c>
      <c r="R293">
        <v>303</v>
      </c>
      <c r="S293">
        <v>370</v>
      </c>
      <c r="T293">
        <v>1492</v>
      </c>
    </row>
    <row r="294" spans="15:20" x14ac:dyDescent="0.3">
      <c r="O294">
        <v>293</v>
      </c>
      <c r="P294" t="s">
        <v>207</v>
      </c>
      <c r="Q294" t="s">
        <v>34</v>
      </c>
      <c r="R294">
        <v>912</v>
      </c>
      <c r="S294">
        <v>552</v>
      </c>
      <c r="T294">
        <v>712</v>
      </c>
    </row>
    <row r="295" spans="15:20" x14ac:dyDescent="0.3">
      <c r="O295">
        <v>294</v>
      </c>
      <c r="P295" t="s">
        <v>207</v>
      </c>
      <c r="Q295" t="s">
        <v>37</v>
      </c>
      <c r="R295">
        <v>373</v>
      </c>
      <c r="S295">
        <v>710</v>
      </c>
      <c r="T295">
        <v>1089</v>
      </c>
    </row>
    <row r="296" spans="15:20" x14ac:dyDescent="0.3">
      <c r="O296">
        <v>295</v>
      </c>
      <c r="P296" t="s">
        <v>208</v>
      </c>
      <c r="Q296" t="s">
        <v>34</v>
      </c>
      <c r="R296">
        <v>890</v>
      </c>
      <c r="S296">
        <v>618</v>
      </c>
      <c r="T296">
        <v>667</v>
      </c>
    </row>
    <row r="297" spans="15:20" x14ac:dyDescent="0.3">
      <c r="O297">
        <v>296</v>
      </c>
      <c r="P297" t="s">
        <v>208</v>
      </c>
      <c r="Q297" t="s">
        <v>37</v>
      </c>
      <c r="R297">
        <v>607</v>
      </c>
      <c r="S297">
        <v>593</v>
      </c>
      <c r="T297">
        <v>968</v>
      </c>
    </row>
    <row r="298" spans="15:20" x14ac:dyDescent="0.3">
      <c r="O298">
        <v>297</v>
      </c>
      <c r="P298" t="s">
        <v>209</v>
      </c>
      <c r="Q298" t="s">
        <v>34</v>
      </c>
      <c r="R298">
        <v>618</v>
      </c>
      <c r="S298">
        <v>352</v>
      </c>
      <c r="T298">
        <v>1197</v>
      </c>
    </row>
    <row r="299" spans="15:20" x14ac:dyDescent="0.3">
      <c r="O299">
        <v>298</v>
      </c>
      <c r="P299" t="s">
        <v>209</v>
      </c>
      <c r="Q299" t="s">
        <v>37</v>
      </c>
      <c r="R299">
        <v>143</v>
      </c>
      <c r="S299">
        <v>460</v>
      </c>
      <c r="T299">
        <v>1564</v>
      </c>
    </row>
    <row r="300" spans="15:20" x14ac:dyDescent="0.3">
      <c r="O300">
        <v>299</v>
      </c>
      <c r="P300" t="s">
        <v>210</v>
      </c>
      <c r="Q300" t="s">
        <v>34</v>
      </c>
      <c r="R300">
        <v>0</v>
      </c>
      <c r="S300">
        <v>0</v>
      </c>
      <c r="T300">
        <v>2103</v>
      </c>
    </row>
    <row r="301" spans="15:20" x14ac:dyDescent="0.3">
      <c r="O301">
        <v>300</v>
      </c>
      <c r="P301" t="s">
        <v>210</v>
      </c>
      <c r="Q301" t="s">
        <v>37</v>
      </c>
      <c r="R301">
        <v>0</v>
      </c>
      <c r="S301">
        <v>0</v>
      </c>
      <c r="T301">
        <v>2160</v>
      </c>
    </row>
    <row r="302" spans="15:20" x14ac:dyDescent="0.3">
      <c r="O302">
        <v>301</v>
      </c>
      <c r="P302" t="s">
        <v>33</v>
      </c>
      <c r="Q302" t="s">
        <v>34</v>
      </c>
      <c r="R302">
        <v>358</v>
      </c>
      <c r="S302">
        <v>333</v>
      </c>
      <c r="T302">
        <v>1469</v>
      </c>
    </row>
    <row r="303" spans="15:20" x14ac:dyDescent="0.3">
      <c r="O303">
        <v>302</v>
      </c>
      <c r="P303" t="s">
        <v>33</v>
      </c>
      <c r="Q303" t="s">
        <v>37</v>
      </c>
      <c r="R303">
        <v>968</v>
      </c>
      <c r="S303">
        <v>586</v>
      </c>
      <c r="T303">
        <v>623</v>
      </c>
    </row>
    <row r="304" spans="15:20" x14ac:dyDescent="0.3">
      <c r="O304">
        <v>303</v>
      </c>
      <c r="P304" t="s">
        <v>39</v>
      </c>
      <c r="Q304" t="s">
        <v>34</v>
      </c>
      <c r="R304">
        <v>338</v>
      </c>
      <c r="S304">
        <v>480</v>
      </c>
      <c r="T304">
        <v>1346</v>
      </c>
    </row>
    <row r="305" spans="15:20" x14ac:dyDescent="0.3">
      <c r="O305">
        <v>304</v>
      </c>
      <c r="P305" t="s">
        <v>39</v>
      </c>
      <c r="Q305" t="s">
        <v>37</v>
      </c>
      <c r="R305">
        <v>893</v>
      </c>
      <c r="S305">
        <v>769</v>
      </c>
      <c r="T305">
        <v>519</v>
      </c>
    </row>
    <row r="306" spans="15:20" x14ac:dyDescent="0.3">
      <c r="O306">
        <v>305</v>
      </c>
      <c r="P306" t="s">
        <v>43</v>
      </c>
      <c r="Q306" t="s">
        <v>34</v>
      </c>
      <c r="R306">
        <v>334</v>
      </c>
      <c r="S306">
        <v>460</v>
      </c>
      <c r="T306">
        <v>1369</v>
      </c>
    </row>
    <row r="307" spans="15:20" x14ac:dyDescent="0.3">
      <c r="O307">
        <v>306</v>
      </c>
      <c r="P307" t="s">
        <v>43</v>
      </c>
      <c r="Q307" t="s">
        <v>37</v>
      </c>
      <c r="R307">
        <v>966</v>
      </c>
      <c r="S307">
        <v>721</v>
      </c>
      <c r="T307">
        <v>495</v>
      </c>
    </row>
    <row r="308" spans="15:20" x14ac:dyDescent="0.3">
      <c r="O308">
        <v>307</v>
      </c>
      <c r="P308" t="s">
        <v>48</v>
      </c>
      <c r="Q308" t="s">
        <v>34</v>
      </c>
      <c r="R308">
        <v>286</v>
      </c>
      <c r="S308">
        <v>549</v>
      </c>
      <c r="T308">
        <v>1331</v>
      </c>
    </row>
    <row r="309" spans="15:20" x14ac:dyDescent="0.3">
      <c r="O309">
        <v>308</v>
      </c>
      <c r="P309" t="s">
        <v>48</v>
      </c>
      <c r="Q309" t="s">
        <v>37</v>
      </c>
      <c r="R309">
        <v>877</v>
      </c>
      <c r="S309">
        <v>803</v>
      </c>
      <c r="T309">
        <v>496</v>
      </c>
    </row>
    <row r="310" spans="15:20" x14ac:dyDescent="0.3">
      <c r="O310">
        <v>309</v>
      </c>
      <c r="P310" t="s">
        <v>52</v>
      </c>
      <c r="Q310" t="s">
        <v>34</v>
      </c>
      <c r="R310">
        <v>30</v>
      </c>
      <c r="S310">
        <v>380</v>
      </c>
      <c r="T310">
        <v>1754</v>
      </c>
    </row>
    <row r="311" spans="15:20" x14ac:dyDescent="0.3">
      <c r="O311">
        <v>310</v>
      </c>
      <c r="P311" t="s">
        <v>52</v>
      </c>
      <c r="Q311" t="s">
        <v>37</v>
      </c>
      <c r="R311">
        <v>945</v>
      </c>
      <c r="S311">
        <v>674</v>
      </c>
      <c r="T311">
        <v>556</v>
      </c>
    </row>
    <row r="312" spans="15:20" x14ac:dyDescent="0.3">
      <c r="O312">
        <v>311</v>
      </c>
      <c r="P312" t="s">
        <v>56</v>
      </c>
      <c r="Q312" t="s">
        <v>34</v>
      </c>
      <c r="R312">
        <v>11</v>
      </c>
      <c r="S312">
        <v>166</v>
      </c>
      <c r="T312">
        <v>1985</v>
      </c>
    </row>
    <row r="313" spans="15:20" x14ac:dyDescent="0.3">
      <c r="O313">
        <v>312</v>
      </c>
      <c r="P313" t="s">
        <v>56</v>
      </c>
      <c r="Q313" t="s">
        <v>37</v>
      </c>
      <c r="R313">
        <v>515</v>
      </c>
      <c r="S313">
        <v>439</v>
      </c>
      <c r="T313">
        <v>1220</v>
      </c>
    </row>
    <row r="314" spans="15:20" x14ac:dyDescent="0.3">
      <c r="O314">
        <v>313</v>
      </c>
      <c r="P314" t="s">
        <v>60</v>
      </c>
      <c r="Q314" t="s">
        <v>34</v>
      </c>
      <c r="R314">
        <v>0</v>
      </c>
      <c r="S314">
        <v>0</v>
      </c>
      <c r="T314">
        <v>2160</v>
      </c>
    </row>
    <row r="315" spans="15:20" x14ac:dyDescent="0.3">
      <c r="O315">
        <v>314</v>
      </c>
      <c r="P315" t="s">
        <v>60</v>
      </c>
      <c r="Q315" t="s">
        <v>37</v>
      </c>
      <c r="R315">
        <v>0</v>
      </c>
      <c r="S315">
        <v>0</v>
      </c>
      <c r="T315">
        <v>2160</v>
      </c>
    </row>
    <row r="316" spans="15:20" x14ac:dyDescent="0.3">
      <c r="O316">
        <v>315</v>
      </c>
      <c r="P316" t="s">
        <v>62</v>
      </c>
      <c r="Q316" t="s">
        <v>34</v>
      </c>
      <c r="R316">
        <v>823</v>
      </c>
      <c r="S316">
        <v>683</v>
      </c>
      <c r="T316">
        <v>666</v>
      </c>
    </row>
    <row r="317" spans="15:20" x14ac:dyDescent="0.3">
      <c r="O317">
        <v>316</v>
      </c>
      <c r="P317" t="s">
        <v>62</v>
      </c>
      <c r="Q317" t="s">
        <v>37</v>
      </c>
      <c r="R317">
        <v>290</v>
      </c>
      <c r="S317">
        <v>470</v>
      </c>
      <c r="T317">
        <v>1405</v>
      </c>
    </row>
    <row r="318" spans="15:20" x14ac:dyDescent="0.3">
      <c r="O318">
        <v>317</v>
      </c>
      <c r="P318" t="s">
        <v>64</v>
      </c>
      <c r="Q318" t="s">
        <v>34</v>
      </c>
      <c r="R318">
        <v>545</v>
      </c>
      <c r="S318">
        <v>455</v>
      </c>
      <c r="T318">
        <v>1178</v>
      </c>
    </row>
    <row r="319" spans="15:20" x14ac:dyDescent="0.3">
      <c r="O319">
        <v>318</v>
      </c>
      <c r="P319" t="s">
        <v>64</v>
      </c>
      <c r="Q319" t="s">
        <v>37</v>
      </c>
      <c r="R319">
        <v>299</v>
      </c>
      <c r="S319">
        <v>473</v>
      </c>
      <c r="T319">
        <v>1396</v>
      </c>
    </row>
    <row r="320" spans="15:20" x14ac:dyDescent="0.3">
      <c r="O320">
        <v>319</v>
      </c>
      <c r="P320" t="s">
        <v>66</v>
      </c>
      <c r="Q320" t="s">
        <v>34</v>
      </c>
      <c r="R320">
        <v>873</v>
      </c>
      <c r="S320">
        <v>620</v>
      </c>
      <c r="T320">
        <v>681</v>
      </c>
    </row>
    <row r="321" spans="15:20" x14ac:dyDescent="0.3">
      <c r="O321">
        <v>320</v>
      </c>
      <c r="P321" t="s">
        <v>66</v>
      </c>
      <c r="Q321" t="s">
        <v>37</v>
      </c>
      <c r="R321">
        <v>337</v>
      </c>
      <c r="S321">
        <v>658</v>
      </c>
      <c r="T321">
        <v>1172</v>
      </c>
    </row>
    <row r="322" spans="15:20" x14ac:dyDescent="0.3">
      <c r="O322">
        <v>321</v>
      </c>
      <c r="P322" t="s">
        <v>68</v>
      </c>
      <c r="Q322" t="s">
        <v>34</v>
      </c>
      <c r="R322">
        <v>645</v>
      </c>
      <c r="S322">
        <v>438</v>
      </c>
      <c r="T322">
        <v>1088</v>
      </c>
    </row>
    <row r="323" spans="15:20" x14ac:dyDescent="0.3">
      <c r="O323">
        <v>322</v>
      </c>
      <c r="P323" t="s">
        <v>68</v>
      </c>
      <c r="Q323" t="s">
        <v>37</v>
      </c>
      <c r="R323">
        <v>322</v>
      </c>
      <c r="S323">
        <v>585</v>
      </c>
      <c r="T323">
        <v>1259</v>
      </c>
    </row>
    <row r="324" spans="15:20" x14ac:dyDescent="0.3">
      <c r="O324">
        <v>323</v>
      </c>
      <c r="P324" t="s">
        <v>70</v>
      </c>
      <c r="Q324" t="s">
        <v>34</v>
      </c>
      <c r="R324">
        <v>632</v>
      </c>
      <c r="S324">
        <v>482</v>
      </c>
      <c r="T324">
        <v>1053</v>
      </c>
    </row>
    <row r="325" spans="15:20" x14ac:dyDescent="0.3">
      <c r="O325">
        <v>324</v>
      </c>
      <c r="P325" t="s">
        <v>70</v>
      </c>
      <c r="Q325" t="s">
        <v>37</v>
      </c>
      <c r="R325">
        <v>276</v>
      </c>
      <c r="S325">
        <v>357</v>
      </c>
      <c r="T325">
        <v>1534</v>
      </c>
    </row>
    <row r="326" spans="15:20" x14ac:dyDescent="0.3">
      <c r="O326">
        <v>325</v>
      </c>
      <c r="P326" t="s">
        <v>72</v>
      </c>
      <c r="Q326" t="s">
        <v>34</v>
      </c>
      <c r="R326">
        <v>871</v>
      </c>
      <c r="S326">
        <v>603</v>
      </c>
      <c r="T326">
        <v>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Tong_Hop</vt:lpstr>
      <vt:lpstr>EN</vt:lpstr>
      <vt:lpstr>EW</vt:lpstr>
      <vt:lpstr>GJ</vt:lpstr>
      <vt:lpstr>GS</vt:lpstr>
      <vt:lpstr>GP</vt:lpstr>
      <vt:lpstr>GR</vt:lpstr>
      <vt:lpstr>GC</vt:lpstr>
      <vt:lpstr>LN</vt:lpstr>
      <vt:lpstr>MC</vt:lpstr>
      <vt:lpstr>MA</vt:lpstr>
      <vt:lpstr>BJ</vt:lpstr>
      <vt:lpstr>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Vu.</dc:creator>
  <cp:lastModifiedBy>cokhi</cp:lastModifiedBy>
  <dcterms:created xsi:type="dcterms:W3CDTF">2015-06-05T18:17:20Z</dcterms:created>
  <dcterms:modified xsi:type="dcterms:W3CDTF">2026-06-13T09:37:51Z</dcterms:modified>
</cp:coreProperties>
</file>